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esktop-a3jnh15\f\Ravinder Bidding\AE-IE-SC Tender\NEW 17 tenders\17. YNR-PKL new\bid documents\"/>
    </mc:Choice>
  </mc:AlternateContent>
  <xr:revisionPtr revIDLastSave="0" documentId="13_ncr:1_{488FAF16-6DCC-41DE-A77A-FC01B0B3942E}" xr6:coauthVersionLast="47" xr6:coauthVersionMax="47" xr10:uidLastSave="{00000000-0000-0000-0000-000000000000}"/>
  <bookViews>
    <workbookView xWindow="-120" yWindow="-120" windowWidth="29040" windowHeight="15720" xr2:uid="{00000000-000D-0000-FFFF-FFFF00000000}"/>
  </bookViews>
  <sheets>
    <sheet name="Appendix C1" sheetId="4" r:id="rId1"/>
    <sheet name="Appendix C2" sheetId="2" r:id="rId2"/>
    <sheet name="Appendix C3" sheetId="3" r:id="rId3"/>
  </sheets>
  <definedNames>
    <definedName name="_xlnm.Print_Area" localSheetId="1">'Appendix C2'!$A$1:$C$24</definedName>
    <definedName name="_xlnm.Print_Area" localSheetId="2">'Appendix C3'!$A$1:$G$80</definedName>
  </definedNames>
  <calcPr calcId="191029"/>
</workbook>
</file>

<file path=xl/calcChain.xml><?xml version="1.0" encoding="utf-8"?>
<calcChain xmlns="http://schemas.openxmlformats.org/spreadsheetml/2006/main">
  <c r="G16" i="3" l="1"/>
  <c r="G20" i="3" l="1"/>
  <c r="E67" i="3"/>
  <c r="G67" i="3" s="1"/>
  <c r="E68" i="3"/>
  <c r="G68" i="3"/>
  <c r="E66" i="3"/>
  <c r="G66" i="3" s="1"/>
  <c r="G69" i="3" s="1"/>
  <c r="C17" i="2" s="1"/>
  <c r="G39" i="3"/>
  <c r="G29" i="3"/>
  <c r="G30" i="3"/>
  <c r="G31" i="3"/>
  <c r="G28" i="3"/>
  <c r="G18" i="3"/>
  <c r="G19" i="3"/>
  <c r="F22" i="3"/>
  <c r="G21" i="3"/>
  <c r="F11" i="3"/>
  <c r="G10" i="3"/>
  <c r="G44" i="3"/>
  <c r="G45" i="3"/>
  <c r="G73" i="3"/>
  <c r="G76" i="3"/>
  <c r="G75" i="3"/>
  <c r="G74" i="3"/>
  <c r="G61" i="3"/>
  <c r="G62" i="3" s="1"/>
  <c r="C16" i="2" s="1"/>
  <c r="G56" i="3"/>
  <c r="G57" i="3"/>
  <c r="C15" i="2" s="1"/>
  <c r="G51" i="3"/>
  <c r="G52" i="3" s="1"/>
  <c r="C14" i="2" s="1"/>
  <c r="G38" i="3"/>
  <c r="G17" i="3"/>
  <c r="G14" i="3"/>
  <c r="G7" i="3"/>
  <c r="G15" i="3"/>
  <c r="G8" i="3"/>
  <c r="G9" i="3"/>
  <c r="G77" i="3" l="1"/>
  <c r="C18" i="2" s="1"/>
  <c r="G46" i="3"/>
  <c r="C13" i="2" s="1"/>
  <c r="G11" i="3"/>
  <c r="G22" i="3"/>
  <c r="G32" i="3"/>
  <c r="C11" i="2" s="1"/>
  <c r="G40" i="3"/>
  <c r="C12" i="2" s="1"/>
  <c r="G23" i="3" l="1"/>
  <c r="C10" i="2" s="1"/>
  <c r="C19" i="2" s="1"/>
  <c r="C21" i="2" s="1"/>
</calcChain>
</file>

<file path=xl/sharedStrings.xml><?xml version="1.0" encoding="utf-8"?>
<sst xmlns="http://schemas.openxmlformats.org/spreadsheetml/2006/main" count="188" uniqueCount="149">
  <si>
    <t xml:space="preserve"> FROM : (Name of Firm)</t>
  </si>
  <si>
    <t xml:space="preserve"> [Date], </t>
  </si>
  <si>
    <t xml:space="preserve"> and  our  proposal.  Our attached  financial  proposal  is  for  the  sum  of</t>
  </si>
  <si>
    <t xml:space="preserve"> [Amount  in  words  and  figures]</t>
  </si>
  <si>
    <t xml:space="preserve"> This amount is exclusive of the local </t>
  </si>
  <si>
    <t xml:space="preserve"> (Amount in Words and Figures).</t>
  </si>
  <si>
    <t xml:space="preserve"> [Date].</t>
  </si>
  <si>
    <t xml:space="preserve"> Name and Address
of Agents</t>
  </si>
  <si>
    <t xml:space="preserve"> Amount and Currency</t>
  </si>
  <si>
    <t xml:space="preserve"> Purpose of Commission
or Gratuity</t>
  </si>
  <si>
    <t xml:space="preserve"> ...............................
...............................</t>
  </si>
  <si>
    <t xml:space="preserve"> </t>
  </si>
  <si>
    <t xml:space="preserve"> Address
</t>
  </si>
  <si>
    <t>*Lead Member in case of JV</t>
  </si>
  <si>
    <t>APPENDIX C-2 : SUMMARY</t>
  </si>
  <si>
    <t>NAME OF THE FIRM/COMPANY</t>
  </si>
  <si>
    <t>Amount</t>
  </si>
  <si>
    <t>No.</t>
  </si>
  <si>
    <t>Description</t>
  </si>
  <si>
    <t>(:LC)*</t>
  </si>
  <si>
    <t>Local Consultants</t>
  </si>
  <si>
    <t>I</t>
  </si>
  <si>
    <t>Remuneration for Local Professional Staff</t>
  </si>
  <si>
    <t>II</t>
  </si>
  <si>
    <t>Supporting Staff</t>
  </si>
  <si>
    <t>III</t>
  </si>
  <si>
    <t>Transportation</t>
  </si>
  <si>
    <t>IV</t>
  </si>
  <si>
    <t>Duty Travel to Site</t>
  </si>
  <si>
    <t>V</t>
  </si>
  <si>
    <t>Office Rent</t>
  </si>
  <si>
    <t>VI</t>
  </si>
  <si>
    <t>Office Supplies, Utilities and Communication</t>
  </si>
  <si>
    <t>VII</t>
  </si>
  <si>
    <t>Office Furniture and Equipment</t>
  </si>
  <si>
    <t>VIII</t>
  </si>
  <si>
    <t>Reports and Document Printing</t>
  </si>
  <si>
    <t>IX</t>
  </si>
  <si>
    <t>Survey Equipment with Survey Party and Vehicle</t>
  </si>
  <si>
    <t>Subtotal Local Consultant</t>
  </si>
  <si>
    <t>Consultancy Services Tax / GST Payable in India</t>
  </si>
  <si>
    <t>Total Costs (Including GST Tax)</t>
  </si>
  <si>
    <t>LC* Local Currency in Rs</t>
  </si>
  <si>
    <t>Note: Payments will be made as per stipulations of the Conditions of Contract.</t>
  </si>
  <si>
    <t>APPENDIX C-3 : BREAKDOWN OF LOCAL CURRENCY COSTS</t>
  </si>
  <si>
    <t>I. REMUNERATION FOR LOCAL PROFESSIONAL STAFF</t>
  </si>
  <si>
    <t>Position</t>
  </si>
  <si>
    <t>Name</t>
  </si>
  <si>
    <t>Rate</t>
  </si>
  <si>
    <t>No. of man-months*</t>
  </si>
  <si>
    <t>Key Personnel (Professional Staff)</t>
  </si>
  <si>
    <t>Road Safety Expert</t>
  </si>
  <si>
    <t>Bridge / Structural Engineer</t>
  </si>
  <si>
    <t>Sub – Total</t>
  </si>
  <si>
    <t>Sub-professional</t>
  </si>
  <si>
    <t>Assistant Quality cum Material Expert</t>
  </si>
  <si>
    <t>TBN</t>
  </si>
  <si>
    <t>CAD Expert</t>
  </si>
  <si>
    <t>Sub Total</t>
  </si>
  <si>
    <t>Total</t>
  </si>
  <si>
    <t xml:space="preserve">TBN = To Be Named
*The man-month against each key personnel/sub – professional shall be same as specified in Enclosure A of TOR.
</t>
  </si>
  <si>
    <t xml:space="preserve">II. </t>
  </si>
  <si>
    <t>Support Staff</t>
  </si>
  <si>
    <t>Staff Months</t>
  </si>
  <si>
    <t>Billing Rate (  )</t>
  </si>
  <si>
    <t>Amount ( )</t>
  </si>
  <si>
    <t xml:space="preserve">Office Manager </t>
  </si>
  <si>
    <t xml:space="preserve">Office Boy </t>
  </si>
  <si>
    <t>Total :</t>
  </si>
  <si>
    <t>Note : Billing rates as indicated above shall be increased in accordance of clause 6.2(a) Special Conditions of Contract. However, for evaluation of Bid proposals, the quoted initial rate shall be multiplied by the total time input for each position on this contract, i.e. without considering the increase in the billing rates.</t>
  </si>
  <si>
    <t>S.No</t>
  </si>
  <si>
    <t>Description of Vehicles</t>
  </si>
  <si>
    <t>Qty.
(No. of vehicle-month)</t>
  </si>
  <si>
    <t>Rate / Vehicle - Month</t>
  </si>
  <si>
    <t>No. of months</t>
  </si>
  <si>
    <t>No. of Vehicles</t>
  </si>
  <si>
    <t xml:space="preserve">Total: </t>
  </si>
  <si>
    <t xml:space="preserve">IV. </t>
  </si>
  <si>
    <t>Trips</t>
  </si>
  <si>
    <t>Number of Trips</t>
  </si>
  <si>
    <t>Rate*</t>
  </si>
  <si>
    <t>To NHAI Regional Office (Round Trip)</t>
  </si>
  <si>
    <t>Total:</t>
  </si>
  <si>
    <t>* Rate quoted includes Hotel charges, travel cost etc. complete.</t>
  </si>
  <si>
    <t>V.</t>
  </si>
  <si>
    <t xml:space="preserve"> Office Rent (Fixed Costs)</t>
  </si>
  <si>
    <t>Minimum 200 sqm area of office shall be rented.
The rent cost includes electricity and water charges, maintenance, cleaning, repairs, etc. complete.</t>
  </si>
  <si>
    <t>Nos of Months</t>
  </si>
  <si>
    <t>Rate/month</t>
  </si>
  <si>
    <t>VI.</t>
  </si>
  <si>
    <t xml:space="preserve"> Office Supplies, Utilities and Communication (Fixed Costs)</t>
  </si>
  <si>
    <t>No</t>
  </si>
  <si>
    <t>Item</t>
  </si>
  <si>
    <t>Months</t>
  </si>
  <si>
    <t>Monthly Rate</t>
  </si>
  <si>
    <t>Amount in Rs.</t>
  </si>
  <si>
    <t>Office Supplies, Utilities &amp; Communication</t>
  </si>
  <si>
    <t xml:space="preserve">VII. </t>
  </si>
  <si>
    <t>Nos. of Months</t>
  </si>
  <si>
    <t>Rate/Month</t>
  </si>
  <si>
    <t>Amount (Rs.)</t>
  </si>
  <si>
    <t>The cost shall include rental charges towards all such furniture and equipment as required for proper functioning of office. Office furniture shall include executive tables, chairs, visitor chairs, steel almirahs, computer furniture, conference table etc. Office equipment shall include as a minimum of telephone (2 external &amp; 10 internal lines), photocopier (15ppm, 12000 copies per month with A3 &amp; A4 input) fax machine, PCs(5 No., Intel Core 2 Duo E8300, 19’’ colour TFT, Cache-6MB, RAM-2 GB, HDD-250 GB, DVD Writer, Key board, optical scroll mouse, MS-Windows Vista Business, pre loaded antivirus etc.), laser printers (2 no., 14 ppm, 266 MHZ, 5000 pages per month, 600x600 dpi or better etc., Engineering Plan printer (1 no.), binding machine (1 no.), plotter A0 size, overhead projector, AC (4 no., 1.5 Ton), Water Coolers (as required)etc.</t>
  </si>
  <si>
    <t>VIII.</t>
  </si>
  <si>
    <t xml:space="preserve"> Reports and Document Printing</t>
  </si>
  <si>
    <t>No. of Reports</t>
  </si>
  <si>
    <t>No. of Copies per Report</t>
  </si>
  <si>
    <t>Total Nos. of copies</t>
  </si>
  <si>
    <t>Rate per Copy (  )</t>
  </si>
  <si>
    <t xml:space="preserve">Monthly reports </t>
  </si>
  <si>
    <t>Half Yearly Reports</t>
  </si>
  <si>
    <t>Various   others   reports   as provided  in  the  Concession Agreement such as Completion Report</t>
  </si>
  <si>
    <t xml:space="preserve">IX. </t>
  </si>
  <si>
    <t xml:space="preserve"> Road Survey  Equipment:- The cost shall include carrying out survey using equipment, manpower, software and report processing.</t>
  </si>
  <si>
    <t>Bridge inspection using Mobile Bridge Inspection Unit</t>
  </si>
  <si>
    <t>Road signs insection using Retro Reflectometer</t>
  </si>
  <si>
    <t>Traffic Sampling using ATCC</t>
  </si>
  <si>
    <t>Name of Work`</t>
  </si>
  <si>
    <t>Site to NHAI HQ for Key Professionals (round trips)</t>
  </si>
  <si>
    <t>APPENDIX C-1 : FINANCIAL PROPOSAL SUBMISSION FORM</t>
  </si>
  <si>
    <t>Subject:</t>
  </si>
  <si>
    <t xml:space="preserve">We,  the  undersigned,  offer  to  provide  the  consulting  services  for  the  above  in accordance  with  your </t>
  </si>
  <si>
    <t>Request  for  Proposal  dated</t>
  </si>
  <si>
    <t>taxes which we have estimated at</t>
  </si>
  <si>
    <t xml:space="preserve">Our financial proposal shall be binding upon us subject to the modifications resulting from contract negotiations, up </t>
  </si>
  <si>
    <t xml:space="preserve">to the expiration of the validity period of the proposal, i.e., </t>
  </si>
  <si>
    <t>We undertake that, in competing for (and, if the award is made to us, in executing) the above contract, we will strictly observe the laws against fraud and corruption in force in India namely “Prevention of Corruption Act 1988”.
Commission and gratuities, if any, paid or to be paid by us to agents relating to this proposal and contract execution, if we are awarded the contract, are listed below:</t>
  </si>
  <si>
    <t>We understand you are not bound to accept any proposal you receive.</t>
  </si>
  <si>
    <r>
      <t xml:space="preserve">We remain, Yours sincerely,
Managing Director/Head of the firm/Authorised Representative of the firm*
</t>
    </r>
    <r>
      <rPr>
        <b/>
        <sz val="12"/>
        <color indexed="8"/>
        <rFont val="Times New Roman"/>
        <family val="1"/>
      </rPr>
      <t>Name of the firm</t>
    </r>
  </si>
  <si>
    <r>
      <rPr>
        <b/>
        <sz val="12"/>
        <color indexed="8"/>
        <rFont val="Times New Roman"/>
        <family val="1"/>
      </rPr>
      <t xml:space="preserve">III. </t>
    </r>
    <r>
      <rPr>
        <sz val="12"/>
        <color indexed="8"/>
        <rFont val="Times New Roman"/>
        <family val="1"/>
      </rPr>
      <t xml:space="preserve">
</t>
    </r>
  </si>
  <si>
    <r>
      <rPr>
        <b/>
        <sz val="12"/>
        <color indexed="8"/>
        <rFont val="Times New Roman"/>
        <family val="1"/>
      </rPr>
      <t>Transportation (Fixed rate on rental basis)</t>
    </r>
    <r>
      <rPr>
        <sz val="12"/>
        <color indexed="8"/>
        <rFont val="Times New Roman"/>
        <family val="1"/>
      </rPr>
      <t xml:space="preserve">
The vehicles provided by the Consultants shall include the cost for rental, drivers, operation, maintenance, repairs, insurance, etc. for all complete approx. 4000 km/month run</t>
    </r>
  </si>
  <si>
    <r>
      <rPr>
        <b/>
        <sz val="12"/>
        <color indexed="8"/>
        <rFont val="Times New Roman"/>
        <family val="1"/>
      </rPr>
      <t xml:space="preserve">Duty Travel to Site (Fixed Costs) </t>
    </r>
    <r>
      <rPr>
        <sz val="12"/>
        <color indexed="8"/>
        <rFont val="Times New Roman"/>
        <family val="1"/>
      </rPr>
      <t>: 
Professional and Sub-Professional Staff</t>
    </r>
  </si>
  <si>
    <r>
      <rPr>
        <b/>
        <sz val="12"/>
        <color indexed="8"/>
        <rFont val="Times New Roman"/>
        <family val="1"/>
      </rPr>
      <t>Office Furniture and Equipment (Rental)</t>
    </r>
    <r>
      <rPr>
        <sz val="12"/>
        <color indexed="8"/>
        <rFont val="Times New Roman"/>
        <family val="1"/>
      </rPr>
      <t xml:space="preserve">
</t>
    </r>
  </si>
  <si>
    <t xml:space="preserve">IT expert+ Toll Plaza expert
</t>
  </si>
  <si>
    <t xml:space="preserve">Pavement strength measurement using FWD </t>
  </si>
  <si>
    <t>Steno cum Computer Operator</t>
  </si>
  <si>
    <t xml:space="preserve">Supervision Consultant Services during Operation &amp; Maintenance period for 4/6 of Yamunanagar-Saha-Barwala-Panchkula section of NH-73 (New NH-344 &amp; 07) from km. 71.400 to km. 176.400 in the State of Haryana.
</t>
  </si>
  <si>
    <t xml:space="preserve">Name of Work:- Supervision Consultant Services during Operation &amp; Maintenance period for 4/6 of Yamunanagar-Saha-Barwala-Panchkula section of NH-73 (New NH-344 &amp; 07) from km. 71.400 to km. 176.400 in the State of Haryana.
</t>
  </si>
  <si>
    <t>Highway Maintenance cum Resident Engineer (2 nos.)</t>
  </si>
  <si>
    <t>Assistant Highway Maintenance Engineer (4 nos.)</t>
  </si>
  <si>
    <t>Technical Supervisor (2 nos)</t>
  </si>
  <si>
    <t>Assistant Bridge Engineer (2 nos.)</t>
  </si>
  <si>
    <t>Electrical Engineer (2 nos.)</t>
  </si>
  <si>
    <t>Nos. of Reports</t>
  </si>
  <si>
    <t>Quantity Surveyor (2 Nos)</t>
  </si>
  <si>
    <t>Horticulture Expert (2 Nos)</t>
  </si>
  <si>
    <t>Innova Crysta with 2393 cc   or Equivalent
(for Team Leader/RE)
(not more than 3 years old)</t>
  </si>
  <si>
    <t>Mahindra Scorpio or equivalent with 2184 cc (for Other Technical Staff) 
(not more than 3 years old)</t>
  </si>
  <si>
    <t>To
Regional Office, Chandigarh
National Highways Authority of India,
NHAI Building, Sector - 30B, Chandigarh (UT) - 160030, (Near Sector – 29-30 Traffic Light, Opposite 30 C Market)
Tel: 0172 - 2586818
Fax: 0172-2573030.
E-mail: tendersrochandigarh@nhai.org</t>
  </si>
  <si>
    <t>Team Leader cum Sr. Highway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</si>
</sst>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10" x14ac:knownFonts="1">
    <font>
      <sz val="11"/>
      <color theme="1"/>
      <name val="Calibri"/>
      <family val="2"/>
      <scheme val="minor"/>
    </font>
    <font>
      <sz val="11"/>
      <color indexed="8"/>
      <name val="Calibri"/>
      <family val="2"/>
    </font>
    <font>
      <sz val="12"/>
      <color indexed="8"/>
      <name val="Times New Roman"/>
      <family val="1"/>
    </font>
    <font>
      <b/>
      <sz val="12"/>
      <color indexed="8"/>
      <name val="Times New Roman"/>
      <family val="1"/>
    </font>
    <font>
      <b/>
      <sz val="12"/>
      <name val="Times New Roman"/>
      <family val="1"/>
    </font>
    <font>
      <b/>
      <u/>
      <sz val="12"/>
      <color indexed="8"/>
      <name val="Times New Roman"/>
      <family val="1"/>
    </font>
    <font>
      <sz val="12"/>
      <name val="Times New Roman"/>
      <family val="1"/>
    </font>
    <font>
      <b/>
      <sz val="12"/>
      <color rgb="FF000000"/>
      <name val="Times New Roman"/>
      <family val="1"/>
    </font>
    <font>
      <sz val="12"/>
      <color rgb="FF000000"/>
      <name val="Times New Roman"/>
      <family val="1"/>
    </font>
    <font>
      <sz val="12"/>
      <color theme="1"/>
      <name val="Times New Roman"/>
      <family val="1"/>
    </font>
  </fonts>
  <fills count="6">
    <fill>
      <patternFill patternType="none"/>
    </fill>
    <fill>
      <patternFill patternType="gray125"/>
    </fill>
    <fill>
      <patternFill patternType="solid">
        <fgColor indexed="41"/>
        <bgColor indexed="64"/>
      </patternFill>
    </fill>
    <fill>
      <patternFill patternType="solid">
        <fgColor rgb="FFCCFFFF"/>
        <bgColor rgb="FF000000"/>
      </patternFill>
    </fill>
    <fill>
      <patternFill patternType="solid">
        <fgColor theme="5" tint="0.79998168889431442"/>
        <bgColor indexed="64"/>
      </patternFill>
    </fill>
    <fill>
      <patternFill patternType="solid">
        <fgColor rgb="FFFFFFFF"/>
        <bgColor rgb="FF000000"/>
      </patternFill>
    </fill>
  </fills>
  <borders count="1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2">
    <xf numFmtId="0" fontId="0" fillId="0" borderId="0"/>
    <xf numFmtId="0" fontId="1" fillId="0" borderId="0"/>
  </cellStyleXfs>
  <cellXfs count="111">
    <xf numFmtId="0" fontId="0" fillId="0" borderId="0" xfId="0"/>
    <xf numFmtId="0" fontId="2" fillId="0" borderId="1" xfId="0" applyFont="1" applyBorder="1" applyAlignment="1">
      <alignment horizontal="center"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xf numFmtId="0" fontId="3" fillId="0" borderId="2" xfId="0" applyFont="1" applyBorder="1" applyAlignment="1">
      <alignment horizontal="center" vertical="top" wrapText="1"/>
    </xf>
    <xf numFmtId="0" fontId="7" fillId="0" borderId="2" xfId="0" applyFont="1" applyBorder="1" applyAlignment="1">
      <alignment horizontal="left" vertical="top" wrapText="1"/>
    </xf>
    <xf numFmtId="0" fontId="8" fillId="3" borderId="2" xfId="0" applyFont="1" applyFill="1" applyBorder="1" applyAlignment="1" applyProtection="1">
      <alignment horizontal="left" vertical="top" wrapText="1"/>
      <protection locked="0"/>
    </xf>
    <xf numFmtId="0" fontId="8" fillId="0" borderId="2" xfId="0" applyFont="1" applyBorder="1" applyAlignment="1">
      <alignment horizontal="left" vertical="top" wrapText="1"/>
    </xf>
    <xf numFmtId="0" fontId="8" fillId="0" borderId="2" xfId="0" applyFont="1" applyBorder="1" applyAlignment="1">
      <alignment horizontal="left" vertical="top"/>
    </xf>
    <xf numFmtId="2" fontId="3" fillId="0" borderId="2" xfId="0" applyNumberFormat="1" applyFont="1" applyBorder="1" applyAlignment="1">
      <alignment horizontal="center" vertical="center" wrapText="1"/>
    </xf>
    <xf numFmtId="2" fontId="3" fillId="4" borderId="2" xfId="1" applyNumberFormat="1" applyFont="1" applyFill="1" applyBorder="1" applyAlignment="1">
      <alignment horizontal="center" vertical="center" wrapText="1"/>
    </xf>
    <xf numFmtId="2" fontId="3" fillId="0" borderId="1" xfId="0" applyNumberFormat="1" applyFont="1" applyBorder="1" applyAlignment="1">
      <alignment horizontal="center" vertical="center" wrapText="1"/>
    </xf>
    <xf numFmtId="0" fontId="9" fillId="0" borderId="0" xfId="0" applyFont="1"/>
    <xf numFmtId="0" fontId="9" fillId="0" borderId="0" xfId="0" applyFont="1" applyAlignment="1">
      <alignment wrapText="1"/>
    </xf>
    <xf numFmtId="0" fontId="3" fillId="0" borderId="2" xfId="0" applyFont="1" applyBorder="1" applyAlignment="1">
      <alignment horizontal="center" vertical="center" wrapText="1"/>
    </xf>
    <xf numFmtId="0" fontId="3" fillId="0" borderId="2" xfId="0" applyFont="1" applyBorder="1" applyAlignment="1">
      <alignment horizontal="justify" vertical="top" wrapText="1"/>
    </xf>
    <xf numFmtId="164" fontId="2" fillId="2" borderId="2" xfId="1" applyNumberFormat="1" applyFont="1" applyFill="1" applyBorder="1" applyAlignment="1" applyProtection="1">
      <alignment horizontal="center" vertical="center" wrapText="1"/>
      <protection locked="0"/>
    </xf>
    <xf numFmtId="0" fontId="2" fillId="0" borderId="2" xfId="0" applyFont="1" applyBorder="1" applyAlignment="1">
      <alignment horizontal="center" vertical="top" wrapText="1"/>
    </xf>
    <xf numFmtId="0" fontId="2" fillId="0" borderId="2" xfId="0" applyFont="1" applyBorder="1" applyAlignment="1">
      <alignment vertical="top" wrapText="1"/>
    </xf>
    <xf numFmtId="0" fontId="3" fillId="0" borderId="2" xfId="0" applyFont="1" applyBorder="1" applyAlignment="1">
      <alignment vertical="center" wrapText="1"/>
    </xf>
    <xf numFmtId="0" fontId="2" fillId="0" borderId="2" xfId="0" applyFont="1" applyBorder="1" applyAlignment="1">
      <alignment vertical="center" wrapText="1"/>
    </xf>
    <xf numFmtId="0" fontId="2" fillId="0" borderId="0" xfId="0" applyFont="1" applyAlignment="1">
      <alignment horizontal="center" wrapText="1"/>
    </xf>
    <xf numFmtId="0" fontId="9" fillId="0" borderId="0" xfId="0" applyFont="1" applyAlignment="1">
      <alignment horizontal="center" vertical="center" wrapText="1"/>
    </xf>
    <xf numFmtId="10" fontId="3" fillId="0" borderId="2" xfId="1" applyNumberFormat="1" applyFont="1" applyBorder="1" applyAlignment="1">
      <alignment horizontal="center" vertical="center" wrapText="1"/>
    </xf>
    <xf numFmtId="0" fontId="2" fillId="0" borderId="0" xfId="0" applyFont="1" applyAlignment="1">
      <alignment vertical="center" wrapText="1"/>
    </xf>
    <xf numFmtId="0" fontId="3" fillId="0" borderId="0" xfId="0" applyFont="1" applyAlignment="1">
      <alignment horizontal="center" vertical="top"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center" vertical="top" wrapText="1"/>
    </xf>
    <xf numFmtId="0" fontId="2" fillId="0" borderId="2" xfId="1" applyFont="1" applyBorder="1" applyAlignment="1">
      <alignment horizontal="center" vertical="center" wrapText="1"/>
    </xf>
    <xf numFmtId="0" fontId="3" fillId="0" borderId="4" xfId="0" applyFont="1" applyBorder="1" applyAlignment="1">
      <alignment horizontal="center" vertical="top" wrapText="1"/>
    </xf>
    <xf numFmtId="0" fontId="2" fillId="0" borderId="0" xfId="0" applyFont="1" applyAlignment="1">
      <alignment horizontal="left" vertical="center" wrapText="1"/>
    </xf>
    <xf numFmtId="0" fontId="2" fillId="0" borderId="2" xfId="0" applyFont="1" applyBorder="1" applyAlignment="1">
      <alignment horizontal="left" vertical="top" wrapText="1"/>
    </xf>
    <xf numFmtId="0" fontId="2" fillId="0" borderId="2" xfId="0" applyFont="1" applyBorder="1" applyAlignment="1">
      <alignment horizontal="left" vertical="center" wrapText="1"/>
    </xf>
    <xf numFmtId="0" fontId="2" fillId="0" borderId="5" xfId="0" applyFont="1" applyBorder="1" applyAlignment="1">
      <alignment horizontal="center" vertical="center" wrapText="1"/>
    </xf>
    <xf numFmtId="0" fontId="2" fillId="2" borderId="2" xfId="1" applyFont="1" applyFill="1" applyBorder="1" applyAlignment="1" applyProtection="1">
      <alignment horizontal="center" vertical="center" wrapText="1"/>
      <protection locked="0"/>
    </xf>
    <xf numFmtId="0" fontId="6" fillId="2" borderId="2" xfId="1" applyFont="1" applyFill="1" applyBorder="1" applyAlignment="1" applyProtection="1">
      <alignment horizontal="center" vertical="center" wrapText="1"/>
      <protection locked="0"/>
    </xf>
    <xf numFmtId="0" fontId="9" fillId="0" borderId="0" xfId="0" applyFont="1" applyAlignment="1">
      <alignment horizontal="center" vertical="center"/>
    </xf>
    <xf numFmtId="1" fontId="2" fillId="0" borderId="2" xfId="0" applyNumberFormat="1" applyFont="1" applyBorder="1" applyAlignment="1">
      <alignment horizontal="center" vertical="center" wrapText="1"/>
    </xf>
    <xf numFmtId="1" fontId="3" fillId="0" borderId="2" xfId="0" applyNumberFormat="1" applyFont="1" applyBorder="1" applyAlignment="1">
      <alignment horizontal="center" vertical="center" wrapText="1"/>
    </xf>
    <xf numFmtId="0" fontId="6" fillId="0" borderId="2" xfId="1" applyFont="1" applyBorder="1" applyAlignment="1">
      <alignment horizontal="center" vertical="center" wrapText="1"/>
    </xf>
    <xf numFmtId="0" fontId="8" fillId="0" borderId="2" xfId="0" applyFont="1" applyBorder="1" applyAlignment="1">
      <alignment horizontal="left" vertical="top"/>
    </xf>
    <xf numFmtId="0" fontId="8" fillId="0" borderId="2" xfId="0" applyFont="1" applyBorder="1" applyAlignment="1">
      <alignment horizontal="left" vertical="top" wrapText="1"/>
    </xf>
    <xf numFmtId="0" fontId="8" fillId="3" borderId="2" xfId="0" applyFont="1" applyFill="1" applyBorder="1" applyAlignment="1" applyProtection="1">
      <alignment horizontal="left" vertical="top" wrapText="1"/>
      <protection locked="0"/>
    </xf>
    <xf numFmtId="0" fontId="7" fillId="0" borderId="2" xfId="0" applyFont="1" applyBorder="1" applyAlignment="1">
      <alignment horizontal="center" vertical="top" wrapText="1"/>
    </xf>
    <xf numFmtId="0" fontId="8" fillId="3" borderId="4" xfId="0" applyFont="1" applyFill="1" applyBorder="1" applyAlignment="1" applyProtection="1">
      <alignment horizontal="left" vertical="top" wrapText="1"/>
      <protection locked="0"/>
    </xf>
    <xf numFmtId="0" fontId="8" fillId="3" borderId="6" xfId="0" applyFont="1" applyFill="1" applyBorder="1" applyAlignment="1" applyProtection="1">
      <alignment horizontal="left" vertical="top" wrapText="1"/>
      <protection locked="0"/>
    </xf>
    <xf numFmtId="0" fontId="8" fillId="3" borderId="7" xfId="0" applyFont="1" applyFill="1" applyBorder="1" applyAlignment="1" applyProtection="1">
      <alignment horizontal="left" vertical="top" wrapText="1"/>
      <protection locked="0"/>
    </xf>
    <xf numFmtId="0" fontId="4" fillId="0" borderId="4"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5" borderId="2" xfId="0" applyFont="1" applyFill="1" applyBorder="1" applyAlignment="1">
      <alignment horizontal="justify" vertical="top" wrapText="1"/>
    </xf>
    <xf numFmtId="0" fontId="8" fillId="0" borderId="4" xfId="0" applyFont="1" applyBorder="1" applyAlignment="1">
      <alignment horizontal="left" vertical="top" wrapText="1"/>
    </xf>
    <xf numFmtId="0" fontId="8" fillId="0" borderId="6" xfId="0" applyFont="1" applyBorder="1" applyAlignment="1">
      <alignment horizontal="left" vertical="top" wrapText="1"/>
    </xf>
    <xf numFmtId="0" fontId="8" fillId="0" borderId="7" xfId="0" applyFont="1" applyBorder="1" applyAlignment="1">
      <alignment horizontal="left" vertical="top" wrapText="1"/>
    </xf>
    <xf numFmtId="0" fontId="9" fillId="0" borderId="0" xfId="0" applyFont="1" applyAlignment="1">
      <alignment horizontal="center"/>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4" fillId="0" borderId="2" xfId="0" applyFont="1" applyBorder="1" applyAlignment="1">
      <alignment horizontal="center" vertical="center" wrapText="1"/>
    </xf>
    <xf numFmtId="0" fontId="5" fillId="0" borderId="0" xfId="0" applyFont="1" applyAlignment="1">
      <alignment horizontal="center" vertical="center" wrapText="1"/>
    </xf>
    <xf numFmtId="0" fontId="3" fillId="0" borderId="4" xfId="0" applyFont="1" applyBorder="1" applyAlignment="1">
      <alignment horizontal="justify" vertical="top" wrapText="1"/>
    </xf>
    <xf numFmtId="0" fontId="2" fillId="0" borderId="6" xfId="0" applyFont="1" applyBorder="1" applyAlignment="1">
      <alignment horizontal="justify" vertical="top" wrapText="1"/>
    </xf>
    <xf numFmtId="0" fontId="2" fillId="0" borderId="7" xfId="0" applyFont="1" applyBorder="1" applyAlignment="1">
      <alignment horizontal="justify" vertical="top" wrapText="1"/>
    </xf>
    <xf numFmtId="0" fontId="3" fillId="0" borderId="2" xfId="0" applyFont="1" applyBorder="1" applyAlignment="1">
      <alignment horizontal="left"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top" wrapText="1"/>
    </xf>
    <xf numFmtId="0" fontId="2" fillId="0" borderId="4" xfId="0" applyFont="1" applyBorder="1" applyAlignment="1">
      <alignment horizontal="center" vertical="top" wrapText="1"/>
    </xf>
    <xf numFmtId="0" fontId="2" fillId="0" borderId="7" xfId="0" applyFont="1" applyBorder="1" applyAlignment="1">
      <alignment horizontal="center" vertical="top" wrapText="1"/>
    </xf>
    <xf numFmtId="0" fontId="3" fillId="0" borderId="3" xfId="0" applyFont="1" applyBorder="1" applyAlignment="1">
      <alignment horizontal="left" vertical="top" wrapText="1"/>
    </xf>
    <xf numFmtId="0" fontId="3" fillId="0" borderId="10" xfId="0" applyFont="1" applyBorder="1" applyAlignment="1">
      <alignment horizontal="left" vertical="top" wrapText="1"/>
    </xf>
    <xf numFmtId="0" fontId="2" fillId="0" borderId="12" xfId="0" applyFont="1" applyBorder="1" applyAlignment="1">
      <alignment horizontal="justify" vertical="top" wrapText="1"/>
    </xf>
    <xf numFmtId="0" fontId="2" fillId="0" borderId="2" xfId="0" applyFont="1" applyBorder="1" applyAlignment="1">
      <alignment horizontal="left" vertical="top" wrapText="1"/>
    </xf>
    <xf numFmtId="0" fontId="3" fillId="0" borderId="2" xfId="0" applyFont="1" applyBorder="1" applyAlignment="1">
      <alignment horizontal="center" vertical="top" wrapText="1"/>
    </xf>
    <xf numFmtId="0" fontId="3" fillId="0" borderId="4" xfId="0" applyFont="1" applyBorder="1" applyAlignment="1">
      <alignment horizontal="center" vertical="top" wrapText="1"/>
    </xf>
    <xf numFmtId="0" fontId="3" fillId="0" borderId="6" xfId="0" applyFont="1" applyBorder="1" applyAlignment="1">
      <alignment horizontal="center" vertical="top" wrapText="1"/>
    </xf>
    <xf numFmtId="0" fontId="3" fillId="0" borderId="7" xfId="0" applyFont="1" applyBorder="1" applyAlignment="1">
      <alignment horizontal="center" vertical="top" wrapText="1"/>
    </xf>
    <xf numFmtId="0" fontId="2" fillId="0" borderId="4"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0" fontId="2" fillId="0" borderId="0" xfId="0" applyFont="1" applyAlignment="1">
      <alignment horizontal="center" vertical="center" wrapText="1"/>
    </xf>
    <xf numFmtId="0" fontId="3" fillId="0" borderId="2" xfId="0" applyFont="1" applyBorder="1" applyAlignment="1">
      <alignment horizontal="right" vertical="center" wrapText="1"/>
    </xf>
    <xf numFmtId="0" fontId="3" fillId="0" borderId="2" xfId="0" applyFont="1" applyBorder="1" applyAlignment="1">
      <alignment horizontal="left" vertical="top" wrapText="1"/>
    </xf>
    <xf numFmtId="0" fontId="3" fillId="0" borderId="4" xfId="0" applyFont="1" applyBorder="1" applyAlignment="1">
      <alignment horizontal="right" vertical="center" wrapText="1"/>
    </xf>
    <xf numFmtId="0" fontId="3" fillId="0" borderId="6" xfId="0" applyFont="1" applyBorder="1" applyAlignment="1">
      <alignment horizontal="right" vertical="center" wrapText="1"/>
    </xf>
    <xf numFmtId="0" fontId="3" fillId="0" borderId="7" xfId="0" applyFont="1" applyBorder="1" applyAlignment="1">
      <alignment horizontal="right" vertical="center" wrapText="1"/>
    </xf>
    <xf numFmtId="0" fontId="2" fillId="0" borderId="2" xfId="0" applyFont="1" applyBorder="1" applyAlignment="1">
      <alignment horizontal="left" vertical="center" wrapText="1"/>
    </xf>
    <xf numFmtId="0" fontId="3" fillId="0" borderId="7" xfId="0" applyFont="1" applyBorder="1" applyAlignment="1">
      <alignment horizontal="center" vertical="center" wrapText="1"/>
    </xf>
    <xf numFmtId="0" fontId="2" fillId="0" borderId="2" xfId="0" applyFont="1" applyBorder="1" applyAlignment="1">
      <alignment horizontal="justify" vertical="justify" wrapText="1"/>
    </xf>
    <xf numFmtId="0" fontId="3" fillId="0" borderId="4"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2" fillId="0" borderId="4" xfId="0" applyFont="1" applyBorder="1" applyAlignment="1">
      <alignment horizontal="left" vertical="center" wrapText="1"/>
    </xf>
    <xf numFmtId="0" fontId="2" fillId="0" borderId="7" xfId="0" applyFont="1" applyBorder="1" applyAlignment="1">
      <alignment horizontal="left" vertical="center" wrapText="1"/>
    </xf>
    <xf numFmtId="0" fontId="2" fillId="0" borderId="4" xfId="0" applyFont="1" applyBorder="1" applyAlignment="1">
      <alignment horizontal="left" vertical="justify" wrapText="1"/>
    </xf>
    <xf numFmtId="0" fontId="2" fillId="0" borderId="6" xfId="0" applyFont="1" applyBorder="1" applyAlignment="1">
      <alignment horizontal="left" vertical="justify" wrapText="1"/>
    </xf>
    <xf numFmtId="0" fontId="2" fillId="0" borderId="7" xfId="0" applyFont="1" applyBorder="1" applyAlignment="1">
      <alignment horizontal="left" vertical="justify" wrapText="1"/>
    </xf>
    <xf numFmtId="0" fontId="2" fillId="0" borderId="2" xfId="0" applyFont="1" applyBorder="1" applyAlignment="1">
      <alignment horizontal="left" vertical="justify" wrapText="1"/>
    </xf>
  </cellXfs>
  <cellStyles count="2">
    <cellStyle name="Normal" xfId="0" builtinId="0"/>
    <cellStyle name="Normal_Sheet1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0</xdr:col>
      <xdr:colOff>876300</xdr:colOff>
      <xdr:row>2</xdr:row>
      <xdr:rowOff>0</xdr:rowOff>
    </xdr:to>
    <xdr:pic>
      <xdr:nvPicPr>
        <xdr:cNvPr id="5465" name="Picture 71">
          <a:extLst>
            <a:ext uri="{FF2B5EF4-FFF2-40B4-BE49-F238E27FC236}">
              <a16:creationId xmlns:a16="http://schemas.microsoft.com/office/drawing/2014/main" id="{00000000-0008-0000-0100-00005915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9525"/>
          <a:ext cx="876300" cy="695325"/>
        </a:xfrm>
        <a:prstGeom prst="rect">
          <a:avLst/>
        </a:prstGeom>
        <a:noFill/>
        <a:ln w="9525">
          <a:noFill/>
          <a:miter lim="800000"/>
          <a:headEnd/>
          <a:tailEnd/>
        </a:ln>
      </xdr:spPr>
    </xdr:pic>
    <xdr:clientData/>
  </xdr:twoCellAnchor>
  <xdr:twoCellAnchor editAs="oneCell">
    <xdr:from>
      <xdr:col>0</xdr:col>
      <xdr:colOff>828675</xdr:colOff>
      <xdr:row>0</xdr:row>
      <xdr:rowOff>0</xdr:rowOff>
    </xdr:from>
    <xdr:to>
      <xdr:col>2</xdr:col>
      <xdr:colOff>1619250</xdr:colOff>
      <xdr:row>2</xdr:row>
      <xdr:rowOff>0</xdr:rowOff>
    </xdr:to>
    <xdr:pic>
      <xdr:nvPicPr>
        <xdr:cNvPr id="5466" name="Picture 75">
          <a:extLst>
            <a:ext uri="{FF2B5EF4-FFF2-40B4-BE49-F238E27FC236}">
              <a16:creationId xmlns:a16="http://schemas.microsoft.com/office/drawing/2014/main" id="{00000000-0008-0000-0100-00005A150000}"/>
            </a:ext>
          </a:extLst>
        </xdr:cNvPr>
        <xdr:cNvPicPr>
          <a:picLocks noChangeAspect="1" noChangeArrowheads="1"/>
        </xdr:cNvPicPr>
      </xdr:nvPicPr>
      <xdr:blipFill>
        <a:blip xmlns:r="http://schemas.openxmlformats.org/officeDocument/2006/relationships" r:embed="rId2"/>
        <a:srcRect b="8952"/>
        <a:stretch>
          <a:fillRect/>
        </a:stretch>
      </xdr:blipFill>
      <xdr:spPr bwMode="auto">
        <a:xfrm>
          <a:off x="828675" y="0"/>
          <a:ext cx="4010025" cy="704850"/>
        </a:xfrm>
        <a:prstGeom prst="rect">
          <a:avLst/>
        </a:prstGeom>
        <a:noFill/>
        <a:ln w="9525">
          <a:noFill/>
          <a:miter lim="800000"/>
          <a:headEnd/>
          <a:tailEnd/>
        </a:ln>
      </xdr:spPr>
    </xdr:pic>
    <xdr:clientData/>
  </xdr:twoCellAnchor>
  <xdr:twoCellAnchor editAs="oneCell">
    <xdr:from>
      <xdr:col>2</xdr:col>
      <xdr:colOff>1800225</xdr:colOff>
      <xdr:row>0</xdr:row>
      <xdr:rowOff>0</xdr:rowOff>
    </xdr:from>
    <xdr:to>
      <xdr:col>2</xdr:col>
      <xdr:colOff>1800225</xdr:colOff>
      <xdr:row>2</xdr:row>
      <xdr:rowOff>0</xdr:rowOff>
    </xdr:to>
    <xdr:pic>
      <xdr:nvPicPr>
        <xdr:cNvPr id="5467" name="Picture 73">
          <a:extLst>
            <a:ext uri="{FF2B5EF4-FFF2-40B4-BE49-F238E27FC236}">
              <a16:creationId xmlns:a16="http://schemas.microsoft.com/office/drawing/2014/main" id="{00000000-0008-0000-0100-00005B15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019675" y="0"/>
          <a:ext cx="0" cy="704850"/>
        </a:xfrm>
        <a:prstGeom prst="rect">
          <a:avLst/>
        </a:prstGeom>
        <a:noFill/>
        <a:ln w="9525">
          <a:noFill/>
          <a:miter lim="800000"/>
          <a:headEnd/>
          <a:tailEnd/>
        </a:ln>
      </xdr:spPr>
    </xdr:pic>
    <xdr:clientData/>
  </xdr:twoCellAnchor>
  <xdr:twoCellAnchor editAs="oneCell">
    <xdr:from>
      <xdr:col>0</xdr:col>
      <xdr:colOff>0</xdr:colOff>
      <xdr:row>0</xdr:row>
      <xdr:rowOff>9525</xdr:rowOff>
    </xdr:from>
    <xdr:to>
      <xdr:col>1</xdr:col>
      <xdr:colOff>9525</xdr:colOff>
      <xdr:row>2</xdr:row>
      <xdr:rowOff>0</xdr:rowOff>
    </xdr:to>
    <xdr:pic>
      <xdr:nvPicPr>
        <xdr:cNvPr id="5468" name="Picture 71">
          <a:extLst>
            <a:ext uri="{FF2B5EF4-FFF2-40B4-BE49-F238E27FC236}">
              <a16:creationId xmlns:a16="http://schemas.microsoft.com/office/drawing/2014/main" id="{00000000-0008-0000-0100-00005C15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9525"/>
          <a:ext cx="895350" cy="695325"/>
        </a:xfrm>
        <a:prstGeom prst="rect">
          <a:avLst/>
        </a:prstGeom>
        <a:noFill/>
        <a:ln w="9525">
          <a:noFill/>
          <a:miter lim="800000"/>
          <a:headEnd/>
          <a:tailEnd/>
        </a:ln>
      </xdr:spPr>
    </xdr:pic>
    <xdr:clientData/>
  </xdr:twoCellAnchor>
  <xdr:twoCellAnchor editAs="oneCell">
    <xdr:from>
      <xdr:col>1</xdr:col>
      <xdr:colOff>47625</xdr:colOff>
      <xdr:row>0</xdr:row>
      <xdr:rowOff>9525</xdr:rowOff>
    </xdr:from>
    <xdr:to>
      <xdr:col>2</xdr:col>
      <xdr:colOff>1724025</xdr:colOff>
      <xdr:row>2</xdr:row>
      <xdr:rowOff>9525</xdr:rowOff>
    </xdr:to>
    <xdr:pic>
      <xdr:nvPicPr>
        <xdr:cNvPr id="5469" name="Picture 75">
          <a:extLst>
            <a:ext uri="{FF2B5EF4-FFF2-40B4-BE49-F238E27FC236}">
              <a16:creationId xmlns:a16="http://schemas.microsoft.com/office/drawing/2014/main" id="{00000000-0008-0000-0100-00005D150000}"/>
            </a:ext>
          </a:extLst>
        </xdr:cNvPr>
        <xdr:cNvPicPr>
          <a:picLocks noChangeAspect="1" noChangeArrowheads="1"/>
        </xdr:cNvPicPr>
      </xdr:nvPicPr>
      <xdr:blipFill>
        <a:blip xmlns:r="http://schemas.openxmlformats.org/officeDocument/2006/relationships" r:embed="rId2"/>
        <a:srcRect b="8952"/>
        <a:stretch>
          <a:fillRect/>
        </a:stretch>
      </xdr:blipFill>
      <xdr:spPr bwMode="auto">
        <a:xfrm>
          <a:off x="933450" y="9525"/>
          <a:ext cx="4010025" cy="704850"/>
        </a:xfrm>
        <a:prstGeom prst="rect">
          <a:avLst/>
        </a:prstGeom>
        <a:noFill/>
        <a:ln w="9525">
          <a:noFill/>
          <a:miter lim="800000"/>
          <a:headEnd/>
          <a:tailEnd/>
        </a:ln>
      </xdr:spPr>
    </xdr:pic>
    <xdr:clientData/>
  </xdr:twoCellAnchor>
  <xdr:twoCellAnchor editAs="oneCell">
    <xdr:from>
      <xdr:col>2</xdr:col>
      <xdr:colOff>1800225</xdr:colOff>
      <xdr:row>0</xdr:row>
      <xdr:rowOff>0</xdr:rowOff>
    </xdr:from>
    <xdr:to>
      <xdr:col>2</xdr:col>
      <xdr:colOff>2628900</xdr:colOff>
      <xdr:row>2</xdr:row>
      <xdr:rowOff>0</xdr:rowOff>
    </xdr:to>
    <xdr:pic>
      <xdr:nvPicPr>
        <xdr:cNvPr id="5470" name="Picture 73">
          <a:extLst>
            <a:ext uri="{FF2B5EF4-FFF2-40B4-BE49-F238E27FC236}">
              <a16:creationId xmlns:a16="http://schemas.microsoft.com/office/drawing/2014/main" id="{00000000-0008-0000-0100-00005E15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019675" y="0"/>
          <a:ext cx="828675" cy="7048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
  <sheetViews>
    <sheetView tabSelected="1" view="pageBreakPreview" topLeftCell="A2" zoomScaleSheetLayoutView="100" workbookViewId="0">
      <selection activeCell="A9" sqref="A9:F9"/>
    </sheetView>
  </sheetViews>
  <sheetFormatPr defaultRowHeight="15" x14ac:dyDescent="0.25"/>
  <cols>
    <col min="1" max="1" width="9.85546875" customWidth="1"/>
    <col min="6" max="6" width="8.28515625" customWidth="1"/>
    <col min="10" max="10" width="7.140625" customWidth="1"/>
    <col min="11" max="11" width="14.42578125" customWidth="1"/>
  </cols>
  <sheetData>
    <row r="1" spans="1:11" ht="15.75" x14ac:dyDescent="0.25">
      <c r="A1" s="46" t="s">
        <v>118</v>
      </c>
      <c r="B1" s="46"/>
      <c r="C1" s="46"/>
      <c r="D1" s="46"/>
      <c r="E1" s="46"/>
      <c r="F1" s="46"/>
      <c r="G1" s="46"/>
      <c r="H1" s="46"/>
      <c r="I1" s="46"/>
      <c r="J1" s="46"/>
      <c r="K1" s="46"/>
    </row>
    <row r="2" spans="1:11" ht="167.25" customHeight="1" x14ac:dyDescent="0.25">
      <c r="A2" s="47" t="s">
        <v>0</v>
      </c>
      <c r="B2" s="48"/>
      <c r="C2" s="48"/>
      <c r="D2" s="48"/>
      <c r="E2" s="48"/>
      <c r="F2" s="49"/>
      <c r="G2" s="50" t="s">
        <v>147</v>
      </c>
      <c r="H2" s="51"/>
      <c r="I2" s="51"/>
      <c r="J2" s="51"/>
      <c r="K2" s="52"/>
    </row>
    <row r="3" spans="1:11" ht="66.75" customHeight="1" x14ac:dyDescent="0.25">
      <c r="A3" s="7" t="s">
        <v>119</v>
      </c>
      <c r="B3" s="53" t="s">
        <v>135</v>
      </c>
      <c r="C3" s="53"/>
      <c r="D3" s="53"/>
      <c r="E3" s="53"/>
      <c r="F3" s="53"/>
      <c r="G3" s="53"/>
      <c r="H3" s="53"/>
      <c r="I3" s="53"/>
      <c r="J3" s="53"/>
      <c r="K3" s="53"/>
    </row>
    <row r="4" spans="1:11" ht="18.75" customHeight="1" x14ac:dyDescent="0.25">
      <c r="A4" s="44" t="s">
        <v>120</v>
      </c>
      <c r="B4" s="44"/>
      <c r="C4" s="44"/>
      <c r="D4" s="44"/>
      <c r="E4" s="44"/>
      <c r="F4" s="44"/>
      <c r="G4" s="44"/>
      <c r="H4" s="44"/>
      <c r="I4" s="44"/>
      <c r="J4" s="44"/>
      <c r="K4" s="44"/>
    </row>
    <row r="5" spans="1:11" ht="20.25" customHeight="1" x14ac:dyDescent="0.25">
      <c r="A5" s="54" t="s">
        <v>121</v>
      </c>
      <c r="B5" s="55"/>
      <c r="C5" s="56"/>
      <c r="D5" s="8" t="s">
        <v>1</v>
      </c>
      <c r="E5" s="54" t="s">
        <v>2</v>
      </c>
      <c r="F5" s="55"/>
      <c r="G5" s="55"/>
      <c r="H5" s="55"/>
      <c r="I5" s="55"/>
      <c r="J5" s="55"/>
      <c r="K5" s="56"/>
    </row>
    <row r="6" spans="1:11" ht="19.5" customHeight="1" x14ac:dyDescent="0.25">
      <c r="A6" s="45" t="s">
        <v>3</v>
      </c>
      <c r="B6" s="45"/>
      <c r="C6" s="45"/>
      <c r="D6" s="45"/>
      <c r="E6" s="45"/>
      <c r="F6" s="45"/>
      <c r="G6" s="45"/>
      <c r="H6" s="44" t="s">
        <v>4</v>
      </c>
      <c r="I6" s="44"/>
      <c r="J6" s="44"/>
      <c r="K6" s="44"/>
    </row>
    <row r="7" spans="1:11" ht="19.5" customHeight="1" x14ac:dyDescent="0.25">
      <c r="A7" s="44" t="s">
        <v>122</v>
      </c>
      <c r="B7" s="44"/>
      <c r="C7" s="44"/>
      <c r="D7" s="44"/>
      <c r="E7" s="45" t="s">
        <v>5</v>
      </c>
      <c r="F7" s="45"/>
      <c r="G7" s="45"/>
      <c r="H7" s="45"/>
      <c r="I7" s="45"/>
      <c r="J7" s="45"/>
      <c r="K7" s="45"/>
    </row>
    <row r="8" spans="1:11" ht="18" customHeight="1" x14ac:dyDescent="0.25">
      <c r="A8" s="44" t="s">
        <v>123</v>
      </c>
      <c r="B8" s="44"/>
      <c r="C8" s="44"/>
      <c r="D8" s="44"/>
      <c r="E8" s="44"/>
      <c r="F8" s="44"/>
      <c r="G8" s="44"/>
      <c r="H8" s="44"/>
      <c r="I8" s="44"/>
      <c r="J8" s="44"/>
      <c r="K8" s="44"/>
    </row>
    <row r="9" spans="1:11" ht="18.75" customHeight="1" x14ac:dyDescent="0.25">
      <c r="A9" s="44" t="s">
        <v>124</v>
      </c>
      <c r="B9" s="44"/>
      <c r="C9" s="44"/>
      <c r="D9" s="44"/>
      <c r="E9" s="44"/>
      <c r="F9" s="44"/>
      <c r="G9" s="45" t="s">
        <v>6</v>
      </c>
      <c r="H9" s="45"/>
      <c r="I9" s="9"/>
      <c r="J9" s="9"/>
      <c r="K9" s="9"/>
    </row>
    <row r="10" spans="1:11" ht="15.75" x14ac:dyDescent="0.25">
      <c r="A10" s="9"/>
      <c r="B10" s="9"/>
      <c r="C10" s="9"/>
      <c r="D10" s="9"/>
      <c r="E10" s="9"/>
      <c r="F10" s="9"/>
      <c r="G10" s="9"/>
      <c r="H10" s="9"/>
      <c r="I10" s="9"/>
      <c r="J10" s="9"/>
      <c r="K10" s="9"/>
    </row>
    <row r="11" spans="1:11" ht="83.25" customHeight="1" x14ac:dyDescent="0.25">
      <c r="A11" s="44" t="s">
        <v>125</v>
      </c>
      <c r="B11" s="44"/>
      <c r="C11" s="44"/>
      <c r="D11" s="44"/>
      <c r="E11" s="44"/>
      <c r="F11" s="44"/>
      <c r="G11" s="44"/>
      <c r="H11" s="44"/>
      <c r="I11" s="44"/>
      <c r="J11" s="44"/>
      <c r="K11" s="44"/>
    </row>
    <row r="12" spans="1:11" ht="34.5" customHeight="1" x14ac:dyDescent="0.25">
      <c r="A12" s="44" t="s">
        <v>7</v>
      </c>
      <c r="B12" s="44"/>
      <c r="C12" s="44"/>
      <c r="D12" s="9"/>
      <c r="E12" s="44" t="s">
        <v>8</v>
      </c>
      <c r="F12" s="44"/>
      <c r="G12" s="44"/>
      <c r="H12" s="9"/>
      <c r="I12" s="44" t="s">
        <v>9</v>
      </c>
      <c r="J12" s="44"/>
      <c r="K12" s="44"/>
    </row>
    <row r="13" spans="1:11" ht="66.75" customHeight="1" x14ac:dyDescent="0.25">
      <c r="A13" s="45" t="s">
        <v>10</v>
      </c>
      <c r="B13" s="45"/>
      <c r="C13" s="45"/>
      <c r="D13" s="9"/>
      <c r="E13" s="45" t="s">
        <v>10</v>
      </c>
      <c r="F13" s="45"/>
      <c r="G13" s="45"/>
      <c r="H13" s="9"/>
      <c r="I13" s="45" t="s">
        <v>10</v>
      </c>
      <c r="J13" s="45"/>
      <c r="K13" s="45"/>
    </row>
    <row r="14" spans="1:11" ht="19.5" customHeight="1" x14ac:dyDescent="0.25">
      <c r="A14" s="44" t="s">
        <v>126</v>
      </c>
      <c r="B14" s="44"/>
      <c r="C14" s="44"/>
      <c r="D14" s="44"/>
      <c r="E14" s="44"/>
      <c r="F14" s="44"/>
      <c r="G14" s="44"/>
      <c r="H14" s="9"/>
      <c r="I14" s="9"/>
      <c r="J14" s="9"/>
      <c r="K14" s="9"/>
    </row>
    <row r="15" spans="1:11" ht="98.25" customHeight="1" x14ac:dyDescent="0.25">
      <c r="A15" s="44" t="s">
        <v>127</v>
      </c>
      <c r="B15" s="44"/>
      <c r="C15" s="44"/>
      <c r="D15" s="44"/>
      <c r="E15" s="44"/>
      <c r="F15" s="44"/>
      <c r="G15" s="9"/>
      <c r="H15" s="9"/>
      <c r="I15" s="9"/>
      <c r="J15" s="9"/>
      <c r="K15" s="9"/>
    </row>
    <row r="16" spans="1:11" ht="21.75" customHeight="1" x14ac:dyDescent="0.25">
      <c r="A16" s="45" t="s">
        <v>11</v>
      </c>
      <c r="B16" s="45"/>
      <c r="C16" s="45"/>
      <c r="D16" s="45"/>
      <c r="E16" s="45"/>
      <c r="F16" s="45"/>
      <c r="G16" s="9"/>
      <c r="H16" s="9"/>
      <c r="I16" s="9"/>
      <c r="J16" s="9"/>
      <c r="K16" s="9"/>
    </row>
    <row r="17" spans="1:11" ht="17.25" customHeight="1" x14ac:dyDescent="0.25">
      <c r="A17" s="44" t="s">
        <v>12</v>
      </c>
      <c r="B17" s="44"/>
      <c r="C17" s="44"/>
      <c r="D17" s="44"/>
      <c r="E17" s="9"/>
      <c r="F17" s="9"/>
      <c r="G17" s="9"/>
      <c r="H17" s="9"/>
      <c r="I17" s="9"/>
      <c r="J17" s="9"/>
      <c r="K17" s="9"/>
    </row>
    <row r="18" spans="1:11" ht="21" customHeight="1" x14ac:dyDescent="0.25">
      <c r="A18" s="45"/>
      <c r="B18" s="45"/>
      <c r="C18" s="45"/>
      <c r="D18" s="45"/>
      <c r="E18" s="45"/>
      <c r="F18" s="45"/>
      <c r="G18" s="9"/>
      <c r="H18" s="9"/>
      <c r="I18" s="9"/>
      <c r="J18" s="9"/>
      <c r="K18" s="9"/>
    </row>
    <row r="19" spans="1:11" ht="15.75" x14ac:dyDescent="0.25">
      <c r="A19" s="43" t="s">
        <v>13</v>
      </c>
      <c r="B19" s="43"/>
      <c r="C19" s="43"/>
      <c r="D19" s="43"/>
      <c r="E19" s="10"/>
      <c r="F19" s="10"/>
      <c r="G19" s="10"/>
      <c r="H19" s="10"/>
      <c r="I19" s="10"/>
      <c r="J19" s="10"/>
      <c r="K19" s="10"/>
    </row>
  </sheetData>
  <sheetProtection algorithmName="SHA-512" hashValue="MfMvxpdLAUR7sdJRKo9YgkUNMrLphfBHEjj+5nky8uIIsKXam+HKJFDgTlj9gMZKFf6B1WxIpFa6ZM7HhaMkHQ==" saltValue="MKSlh8YTr8asztxrfF3fYg==" spinCount="100000" sheet="1" objects="1" scenarios="1"/>
  <mergeCells count="27">
    <mergeCell ref="A9:F9"/>
    <mergeCell ref="G9:H9"/>
    <mergeCell ref="A1:K1"/>
    <mergeCell ref="A2:F2"/>
    <mergeCell ref="G2:K2"/>
    <mergeCell ref="B3:K3"/>
    <mergeCell ref="A4:K4"/>
    <mergeCell ref="A5:C5"/>
    <mergeCell ref="E5:K5"/>
    <mergeCell ref="A6:G6"/>
    <mergeCell ref="H6:K6"/>
    <mergeCell ref="A7:D7"/>
    <mergeCell ref="E7:K7"/>
    <mergeCell ref="A8:K8"/>
    <mergeCell ref="A19:D19"/>
    <mergeCell ref="A11:K11"/>
    <mergeCell ref="A12:C12"/>
    <mergeCell ref="E12:G12"/>
    <mergeCell ref="I12:K12"/>
    <mergeCell ref="A13:C13"/>
    <mergeCell ref="E13:G13"/>
    <mergeCell ref="I13:K13"/>
    <mergeCell ref="A14:G14"/>
    <mergeCell ref="A15:F15"/>
    <mergeCell ref="A16:F16"/>
    <mergeCell ref="A17:D17"/>
    <mergeCell ref="A18:F18"/>
  </mergeCells>
  <pageMargins left="0.7" right="0.7" top="0.75" bottom="0.75" header="0.3" footer="0.3"/>
  <pageSetup paperSize="9" scale="8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
  <sheetViews>
    <sheetView view="pageBreakPreview" zoomScaleSheetLayoutView="100" workbookViewId="0">
      <selection activeCell="C3" sqref="C3"/>
    </sheetView>
  </sheetViews>
  <sheetFormatPr defaultRowHeight="15.75" x14ac:dyDescent="0.25"/>
  <cols>
    <col min="1" max="1" width="13.28515625" style="14" customWidth="1"/>
    <col min="2" max="2" width="35" style="14" customWidth="1"/>
    <col min="3" max="3" width="43.5703125" style="14" customWidth="1"/>
    <col min="4" max="16384" width="9.140625" style="14"/>
  </cols>
  <sheetData>
    <row r="1" spans="1:7" ht="24.75" customHeight="1" x14ac:dyDescent="0.25">
      <c r="A1" s="57"/>
    </row>
    <row r="2" spans="1:7" ht="30.75" customHeight="1" x14ac:dyDescent="0.25">
      <c r="A2" s="57"/>
      <c r="G2" s="15"/>
    </row>
    <row r="3" spans="1:7" ht="108.75" customHeight="1" x14ac:dyDescent="0.25">
      <c r="A3" s="58" t="s">
        <v>116</v>
      </c>
      <c r="B3" s="58"/>
      <c r="C3" s="17" t="s">
        <v>135</v>
      </c>
    </row>
    <row r="4" spans="1:7" ht="31.5" customHeight="1" x14ac:dyDescent="0.25">
      <c r="A4" s="59" t="s">
        <v>14</v>
      </c>
      <c r="B4" s="60"/>
      <c r="C4" s="61"/>
    </row>
    <row r="5" spans="1:7" ht="63.75" customHeight="1" x14ac:dyDescent="0.25">
      <c r="A5" s="62" t="s">
        <v>15</v>
      </c>
      <c r="B5" s="62"/>
      <c r="C5" s="18"/>
    </row>
    <row r="6" spans="1:7" x14ac:dyDescent="0.25">
      <c r="A6" s="19"/>
      <c r="B6" s="20"/>
      <c r="C6" s="16" t="s">
        <v>16</v>
      </c>
    </row>
    <row r="7" spans="1:7" x14ac:dyDescent="0.25">
      <c r="A7" s="6" t="s">
        <v>17</v>
      </c>
      <c r="B7" s="6" t="s">
        <v>18</v>
      </c>
      <c r="C7" s="16" t="s">
        <v>19</v>
      </c>
    </row>
    <row r="8" spans="1:7" x14ac:dyDescent="0.25">
      <c r="A8" s="1"/>
      <c r="B8" s="20"/>
      <c r="C8" s="2"/>
    </row>
    <row r="9" spans="1:7" x14ac:dyDescent="0.25">
      <c r="A9" s="3"/>
      <c r="B9" s="21" t="s">
        <v>20</v>
      </c>
      <c r="C9" s="2"/>
    </row>
    <row r="10" spans="1:7" ht="31.5" x14ac:dyDescent="0.25">
      <c r="A10" s="2" t="s">
        <v>21</v>
      </c>
      <c r="B10" s="22" t="s">
        <v>22</v>
      </c>
      <c r="C10" s="12">
        <f>'Appendix C3'!G23</f>
        <v>0</v>
      </c>
    </row>
    <row r="11" spans="1:7" x14ac:dyDescent="0.25">
      <c r="A11" s="2" t="s">
        <v>23</v>
      </c>
      <c r="B11" s="22" t="s">
        <v>24</v>
      </c>
      <c r="C11" s="12">
        <f>'Appendix C3'!G32</f>
        <v>0</v>
      </c>
    </row>
    <row r="12" spans="1:7" x14ac:dyDescent="0.25">
      <c r="A12" s="2" t="s">
        <v>25</v>
      </c>
      <c r="B12" s="22" t="s">
        <v>26</v>
      </c>
      <c r="C12" s="12">
        <f>'Appendix C3'!G40</f>
        <v>0</v>
      </c>
    </row>
    <row r="13" spans="1:7" x14ac:dyDescent="0.25">
      <c r="A13" s="2" t="s">
        <v>27</v>
      </c>
      <c r="B13" s="22" t="s">
        <v>28</v>
      </c>
      <c r="C13" s="12">
        <f>'Appendix C3'!G46</f>
        <v>0</v>
      </c>
    </row>
    <row r="14" spans="1:7" x14ac:dyDescent="0.25">
      <c r="A14" s="2" t="s">
        <v>29</v>
      </c>
      <c r="B14" s="22" t="s">
        <v>30</v>
      </c>
      <c r="C14" s="12">
        <f>'Appendix C3'!G52</f>
        <v>0</v>
      </c>
    </row>
    <row r="15" spans="1:7" ht="31.5" x14ac:dyDescent="0.25">
      <c r="A15" s="2" t="s">
        <v>31</v>
      </c>
      <c r="B15" s="22" t="s">
        <v>32</v>
      </c>
      <c r="C15" s="12">
        <f>'Appendix C3'!G57</f>
        <v>0</v>
      </c>
    </row>
    <row r="16" spans="1:7" x14ac:dyDescent="0.25">
      <c r="A16" s="2" t="s">
        <v>33</v>
      </c>
      <c r="B16" s="22" t="s">
        <v>34</v>
      </c>
      <c r="C16" s="12">
        <f>'Appendix C3'!G62</f>
        <v>0</v>
      </c>
    </row>
    <row r="17" spans="1:3" x14ac:dyDescent="0.25">
      <c r="A17" s="2" t="s">
        <v>35</v>
      </c>
      <c r="B17" s="22" t="s">
        <v>36</v>
      </c>
      <c r="C17" s="12">
        <f>'Appendix C3'!G69</f>
        <v>0</v>
      </c>
    </row>
    <row r="18" spans="1:3" ht="31.5" x14ac:dyDescent="0.25">
      <c r="A18" s="2" t="s">
        <v>37</v>
      </c>
      <c r="B18" s="22" t="s">
        <v>38</v>
      </c>
      <c r="C18" s="12">
        <f>'Appendix C3'!G77</f>
        <v>0</v>
      </c>
    </row>
    <row r="19" spans="1:3" x14ac:dyDescent="0.25">
      <c r="A19" s="4"/>
      <c r="B19" s="21" t="s">
        <v>39</v>
      </c>
      <c r="C19" s="13">
        <f>SUM(C10:C18)</f>
        <v>0</v>
      </c>
    </row>
    <row r="20" spans="1:3" ht="31.5" x14ac:dyDescent="0.25">
      <c r="A20" s="2"/>
      <c r="B20" s="22" t="s">
        <v>40</v>
      </c>
      <c r="C20" s="25">
        <v>0.18</v>
      </c>
    </row>
    <row r="21" spans="1:3" x14ac:dyDescent="0.25">
      <c r="A21" s="2"/>
      <c r="B21" s="21" t="s">
        <v>41</v>
      </c>
      <c r="C21" s="11">
        <f>C19+(C20*C19)</f>
        <v>0</v>
      </c>
    </row>
    <row r="22" spans="1:3" x14ac:dyDescent="0.25">
      <c r="A22" s="23"/>
      <c r="B22" s="15"/>
      <c r="C22" s="24"/>
    </row>
    <row r="23" spans="1:3" x14ac:dyDescent="0.25">
      <c r="A23" s="5" t="s">
        <v>42</v>
      </c>
      <c r="B23" s="15"/>
      <c r="C23" s="24"/>
    </row>
    <row r="24" spans="1:3" x14ac:dyDescent="0.25">
      <c r="A24" s="5" t="s">
        <v>43</v>
      </c>
      <c r="B24" s="15"/>
      <c r="C24" s="24"/>
    </row>
  </sheetData>
  <sheetProtection algorithmName="SHA-512" hashValue="MSvCI5QBOvSnvK80i1l0tINqNEL990DGJRin7wUiAvcXUerwnfQfAonzjZYvYNIzEDNGBvKp7Z9A9JIgEjNyBg==" saltValue="DBBoP7rg7wvCF+TtoPmX4g==" spinCount="100000" sheet="1" objects="1" scenarios="1"/>
  <mergeCells count="4">
    <mergeCell ref="A1:A2"/>
    <mergeCell ref="A3:B3"/>
    <mergeCell ref="A4:C4"/>
    <mergeCell ref="A5:B5"/>
  </mergeCells>
  <dataValidations count="1">
    <dataValidation allowBlank="1" showInputMessage="1" showErrorMessage="1" error="Enter Values in Numericals between 1 to 100" sqref="C20" xr:uid="{00000000-0002-0000-0100-000000000000}"/>
  </dataValidations>
  <pageMargins left="0.7" right="0.7" top="0.75" bottom="0.75" header="0.3" footer="0.3"/>
  <pageSetup paperSize="9" scale="9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0"/>
  <sheetViews>
    <sheetView view="pageBreakPreview" zoomScaleNormal="85" zoomScaleSheetLayoutView="100" workbookViewId="0">
      <selection activeCell="F7" sqref="F7"/>
    </sheetView>
  </sheetViews>
  <sheetFormatPr defaultRowHeight="15.75" x14ac:dyDescent="0.25"/>
  <cols>
    <col min="1" max="1" width="9.140625" style="14"/>
    <col min="2" max="2" width="30.42578125" style="14" customWidth="1"/>
    <col min="3" max="3" width="22.5703125" style="14" customWidth="1"/>
    <col min="4" max="4" width="21.28515625" style="14" customWidth="1"/>
    <col min="5" max="5" width="18.7109375" style="14" customWidth="1"/>
    <col min="6" max="6" width="20.42578125" style="14" customWidth="1"/>
    <col min="7" max="7" width="30.140625" style="14" customWidth="1"/>
    <col min="8" max="16384" width="9.140625" style="14"/>
  </cols>
  <sheetData>
    <row r="1" spans="1:7" ht="27" customHeight="1" x14ac:dyDescent="0.25">
      <c r="A1" s="63" t="s">
        <v>44</v>
      </c>
      <c r="B1" s="63"/>
      <c r="C1" s="63"/>
      <c r="D1" s="63"/>
      <c r="E1" s="63"/>
      <c r="F1" s="63"/>
      <c r="G1" s="63"/>
    </row>
    <row r="2" spans="1:7" ht="48.75" customHeight="1" x14ac:dyDescent="0.25">
      <c r="A2" s="64" t="s">
        <v>136</v>
      </c>
      <c r="B2" s="65"/>
      <c r="C2" s="65"/>
      <c r="D2" s="65"/>
      <c r="E2" s="65"/>
      <c r="F2" s="65"/>
      <c r="G2" s="66"/>
    </row>
    <row r="3" spans="1:7" ht="27" customHeight="1" x14ac:dyDescent="0.25">
      <c r="A3" s="67" t="s">
        <v>45</v>
      </c>
      <c r="B3" s="67"/>
      <c r="C3" s="67"/>
      <c r="D3" s="67"/>
      <c r="E3" s="67"/>
      <c r="F3" s="67"/>
      <c r="G3" s="67"/>
    </row>
    <row r="4" spans="1:7" x14ac:dyDescent="0.25">
      <c r="A4" s="58" t="s">
        <v>17</v>
      </c>
      <c r="B4" s="68" t="s">
        <v>46</v>
      </c>
      <c r="C4" s="69"/>
      <c r="D4" s="58" t="s">
        <v>47</v>
      </c>
      <c r="E4" s="72" t="s">
        <v>48</v>
      </c>
      <c r="F4" s="72" t="s">
        <v>49</v>
      </c>
      <c r="G4" s="72" t="s">
        <v>16</v>
      </c>
    </row>
    <row r="5" spans="1:7" x14ac:dyDescent="0.25">
      <c r="A5" s="58"/>
      <c r="B5" s="70"/>
      <c r="C5" s="71"/>
      <c r="D5" s="58"/>
      <c r="E5" s="73"/>
      <c r="F5" s="73"/>
      <c r="G5" s="73"/>
    </row>
    <row r="6" spans="1:7" x14ac:dyDescent="0.25">
      <c r="A6" s="67" t="s">
        <v>50</v>
      </c>
      <c r="B6" s="67"/>
      <c r="C6" s="67"/>
      <c r="D6" s="67"/>
      <c r="E6" s="67"/>
      <c r="F6" s="67"/>
      <c r="G6" s="26"/>
    </row>
    <row r="7" spans="1:7" ht="36" customHeight="1" x14ac:dyDescent="0.25">
      <c r="A7" s="2">
        <v>1</v>
      </c>
      <c r="B7" s="74" t="s">
        <v>148</v>
      </c>
      <c r="C7" s="75"/>
      <c r="D7" s="37" t="s">
        <v>56</v>
      </c>
      <c r="E7" s="37"/>
      <c r="F7" s="2">
        <v>9</v>
      </c>
      <c r="G7" s="2">
        <f>F7*E7</f>
        <v>0</v>
      </c>
    </row>
    <row r="8" spans="1:7" ht="36" customHeight="1" x14ac:dyDescent="0.25">
      <c r="A8" s="2">
        <v>2</v>
      </c>
      <c r="B8" s="76" t="s">
        <v>137</v>
      </c>
      <c r="C8" s="76"/>
      <c r="D8" s="37" t="s">
        <v>56</v>
      </c>
      <c r="E8" s="37"/>
      <c r="F8" s="2">
        <v>72</v>
      </c>
      <c r="G8" s="2">
        <f>F8*E8</f>
        <v>0</v>
      </c>
    </row>
    <row r="9" spans="1:7" ht="36" customHeight="1" x14ac:dyDescent="0.25">
      <c r="A9" s="2">
        <v>3</v>
      </c>
      <c r="B9" s="76" t="s">
        <v>51</v>
      </c>
      <c r="C9" s="76"/>
      <c r="D9" s="37" t="s">
        <v>56</v>
      </c>
      <c r="E9" s="37"/>
      <c r="F9" s="2">
        <v>9</v>
      </c>
      <c r="G9" s="2">
        <f>F9*E9</f>
        <v>0</v>
      </c>
    </row>
    <row r="10" spans="1:7" ht="36" customHeight="1" x14ac:dyDescent="0.25">
      <c r="A10" s="2">
        <v>4</v>
      </c>
      <c r="B10" s="74" t="s">
        <v>52</v>
      </c>
      <c r="C10" s="75"/>
      <c r="D10" s="37" t="s">
        <v>56</v>
      </c>
      <c r="E10" s="37"/>
      <c r="F10" s="2">
        <v>9</v>
      </c>
      <c r="G10" s="2">
        <f>F10*E10</f>
        <v>0</v>
      </c>
    </row>
    <row r="11" spans="1:7" x14ac:dyDescent="0.25">
      <c r="A11" s="84" t="s">
        <v>53</v>
      </c>
      <c r="B11" s="84"/>
      <c r="C11" s="84"/>
      <c r="D11" s="84"/>
      <c r="E11" s="2"/>
      <c r="F11" s="16">
        <f>F7+F8+F9+F10</f>
        <v>99</v>
      </c>
      <c r="G11" s="6">
        <f>SUM(G7:G10)</f>
        <v>0</v>
      </c>
    </row>
    <row r="12" spans="1:7" x14ac:dyDescent="0.25">
      <c r="A12" s="27"/>
      <c r="B12" s="27"/>
      <c r="C12" s="27"/>
      <c r="D12" s="27"/>
      <c r="E12" s="28"/>
      <c r="F12" s="29"/>
      <c r="G12" s="30"/>
    </row>
    <row r="13" spans="1:7" x14ac:dyDescent="0.25">
      <c r="A13" s="80" t="s">
        <v>54</v>
      </c>
      <c r="B13" s="80"/>
      <c r="C13" s="80"/>
      <c r="D13" s="80"/>
      <c r="E13" s="80"/>
      <c r="F13" s="81"/>
      <c r="G13" s="26"/>
    </row>
    <row r="14" spans="1:7" ht="36" customHeight="1" x14ac:dyDescent="0.25">
      <c r="A14" s="19">
        <v>1</v>
      </c>
      <c r="B14" s="77" t="s">
        <v>55</v>
      </c>
      <c r="C14" s="77"/>
      <c r="D14" s="37" t="s">
        <v>56</v>
      </c>
      <c r="E14" s="37"/>
      <c r="F14" s="40">
        <v>12</v>
      </c>
      <c r="G14" s="2">
        <f t="shared" ref="G14:G20" si="0">F14*E14</f>
        <v>0</v>
      </c>
    </row>
    <row r="15" spans="1:7" ht="36" customHeight="1" x14ac:dyDescent="0.25">
      <c r="A15" s="19">
        <v>2</v>
      </c>
      <c r="B15" s="77" t="s">
        <v>138</v>
      </c>
      <c r="C15" s="77"/>
      <c r="D15" s="37" t="s">
        <v>56</v>
      </c>
      <c r="E15" s="37"/>
      <c r="F15" s="40">
        <v>144</v>
      </c>
      <c r="G15" s="2">
        <f t="shared" si="0"/>
        <v>0</v>
      </c>
    </row>
    <row r="16" spans="1:7" ht="36" customHeight="1" x14ac:dyDescent="0.25">
      <c r="A16" s="19">
        <v>3</v>
      </c>
      <c r="B16" s="77" t="s">
        <v>140</v>
      </c>
      <c r="C16" s="77"/>
      <c r="D16" s="37" t="s">
        <v>56</v>
      </c>
      <c r="E16" s="37"/>
      <c r="F16" s="40">
        <v>24</v>
      </c>
      <c r="G16" s="2">
        <f>F16*E16</f>
        <v>0</v>
      </c>
    </row>
    <row r="17" spans="1:7" ht="26.25" customHeight="1" x14ac:dyDescent="0.25">
      <c r="A17" s="19">
        <v>4</v>
      </c>
      <c r="B17" s="77" t="s">
        <v>57</v>
      </c>
      <c r="C17" s="77"/>
      <c r="D17" s="37" t="s">
        <v>56</v>
      </c>
      <c r="E17" s="37"/>
      <c r="F17" s="40">
        <v>12</v>
      </c>
      <c r="G17" s="2">
        <f t="shared" si="0"/>
        <v>0</v>
      </c>
    </row>
    <row r="18" spans="1:7" ht="29.25" customHeight="1" x14ac:dyDescent="0.25">
      <c r="A18" s="19">
        <v>5</v>
      </c>
      <c r="B18" s="77" t="s">
        <v>141</v>
      </c>
      <c r="C18" s="77"/>
      <c r="D18" s="37" t="s">
        <v>56</v>
      </c>
      <c r="E18" s="37"/>
      <c r="F18" s="40">
        <v>24</v>
      </c>
      <c r="G18" s="2">
        <f t="shared" si="0"/>
        <v>0</v>
      </c>
    </row>
    <row r="19" spans="1:7" ht="29.25" customHeight="1" x14ac:dyDescent="0.25">
      <c r="A19" s="19">
        <v>6</v>
      </c>
      <c r="B19" s="78" t="s">
        <v>143</v>
      </c>
      <c r="C19" s="79"/>
      <c r="D19" s="37" t="s">
        <v>56</v>
      </c>
      <c r="E19" s="37"/>
      <c r="F19" s="40">
        <v>18</v>
      </c>
      <c r="G19" s="2">
        <f t="shared" si="0"/>
        <v>0</v>
      </c>
    </row>
    <row r="20" spans="1:7" ht="29.25" customHeight="1" x14ac:dyDescent="0.25">
      <c r="A20" s="19">
        <v>7</v>
      </c>
      <c r="B20" s="78" t="s">
        <v>144</v>
      </c>
      <c r="C20" s="79"/>
      <c r="D20" s="37" t="s">
        <v>56</v>
      </c>
      <c r="E20" s="37"/>
      <c r="F20" s="40">
        <v>18</v>
      </c>
      <c r="G20" s="2">
        <f t="shared" si="0"/>
        <v>0</v>
      </c>
    </row>
    <row r="21" spans="1:7" ht="29.25" customHeight="1" x14ac:dyDescent="0.25">
      <c r="A21" s="19">
        <v>8</v>
      </c>
      <c r="B21" s="77" t="s">
        <v>132</v>
      </c>
      <c r="C21" s="77"/>
      <c r="D21" s="37" t="s">
        <v>56</v>
      </c>
      <c r="E21" s="37"/>
      <c r="F21" s="40">
        <v>12</v>
      </c>
      <c r="G21" s="2">
        <f>F21*E21</f>
        <v>0</v>
      </c>
    </row>
    <row r="22" spans="1:7" ht="32.25" customHeight="1" x14ac:dyDescent="0.25">
      <c r="A22" s="85" t="s">
        <v>58</v>
      </c>
      <c r="B22" s="86"/>
      <c r="C22" s="86"/>
      <c r="D22" s="86"/>
      <c r="E22" s="87"/>
      <c r="F22" s="41">
        <f>SUM(F14:F21)</f>
        <v>264</v>
      </c>
      <c r="G22" s="6">
        <f>SUM(G14:G21)</f>
        <v>0</v>
      </c>
    </row>
    <row r="23" spans="1:7" x14ac:dyDescent="0.25">
      <c r="A23" s="85" t="s">
        <v>59</v>
      </c>
      <c r="B23" s="86"/>
      <c r="C23" s="86"/>
      <c r="D23" s="86"/>
      <c r="E23" s="87"/>
      <c r="F23" s="32"/>
      <c r="G23" s="6">
        <f>G22+G11</f>
        <v>0</v>
      </c>
    </row>
    <row r="24" spans="1:7" x14ac:dyDescent="0.25">
      <c r="A24" s="88" t="s">
        <v>60</v>
      </c>
      <c r="B24" s="89"/>
      <c r="C24" s="89"/>
      <c r="D24" s="89"/>
      <c r="E24" s="89"/>
      <c r="F24" s="89"/>
      <c r="G24" s="90"/>
    </row>
    <row r="25" spans="1:7" x14ac:dyDescent="0.25">
      <c r="A25" s="28"/>
      <c r="B25" s="33"/>
      <c r="C25" s="33"/>
      <c r="D25" s="33"/>
      <c r="E25" s="33"/>
      <c r="F25" s="33"/>
      <c r="G25" s="26"/>
    </row>
    <row r="26" spans="1:7" x14ac:dyDescent="0.25">
      <c r="A26" s="16" t="s">
        <v>61</v>
      </c>
      <c r="B26" s="67" t="s">
        <v>62</v>
      </c>
      <c r="C26" s="67"/>
      <c r="D26" s="67"/>
      <c r="E26" s="67"/>
      <c r="F26" s="67"/>
      <c r="G26" s="67"/>
    </row>
    <row r="27" spans="1:7" x14ac:dyDescent="0.25">
      <c r="A27" s="16" t="s">
        <v>17</v>
      </c>
      <c r="B27" s="58" t="s">
        <v>46</v>
      </c>
      <c r="C27" s="58"/>
      <c r="D27" s="16" t="s">
        <v>47</v>
      </c>
      <c r="E27" s="16" t="s">
        <v>63</v>
      </c>
      <c r="F27" s="16" t="s">
        <v>64</v>
      </c>
      <c r="G27" s="16" t="s">
        <v>65</v>
      </c>
    </row>
    <row r="28" spans="1:7" ht="35.25" customHeight="1" x14ac:dyDescent="0.25">
      <c r="A28" s="2">
        <v>1</v>
      </c>
      <c r="B28" s="74" t="s">
        <v>139</v>
      </c>
      <c r="C28" s="75"/>
      <c r="D28" s="37" t="s">
        <v>56</v>
      </c>
      <c r="E28" s="31">
        <v>72</v>
      </c>
      <c r="F28" s="37"/>
      <c r="G28" s="2">
        <f>+E28*F28</f>
        <v>0</v>
      </c>
    </row>
    <row r="29" spans="1:7" ht="32.25" customHeight="1" x14ac:dyDescent="0.25">
      <c r="A29" s="2">
        <v>2</v>
      </c>
      <c r="B29" s="76" t="s">
        <v>66</v>
      </c>
      <c r="C29" s="76"/>
      <c r="D29" s="37" t="s">
        <v>56</v>
      </c>
      <c r="E29" s="31">
        <v>36</v>
      </c>
      <c r="F29" s="37"/>
      <c r="G29" s="2">
        <f>+E29*F29</f>
        <v>0</v>
      </c>
    </row>
    <row r="30" spans="1:7" ht="32.25" customHeight="1" x14ac:dyDescent="0.25">
      <c r="A30" s="2">
        <v>3</v>
      </c>
      <c r="B30" s="76" t="s">
        <v>134</v>
      </c>
      <c r="C30" s="76"/>
      <c r="D30" s="37" t="s">
        <v>56</v>
      </c>
      <c r="E30" s="31">
        <v>36</v>
      </c>
      <c r="F30" s="37"/>
      <c r="G30" s="2">
        <f>+E30*F30</f>
        <v>0</v>
      </c>
    </row>
    <row r="31" spans="1:7" ht="32.25" customHeight="1" x14ac:dyDescent="0.25">
      <c r="A31" s="2">
        <v>4</v>
      </c>
      <c r="B31" s="76" t="s">
        <v>67</v>
      </c>
      <c r="C31" s="76"/>
      <c r="D31" s="37" t="s">
        <v>56</v>
      </c>
      <c r="E31" s="31">
        <v>36</v>
      </c>
      <c r="F31" s="37"/>
      <c r="G31" s="2">
        <f>+E31*F31</f>
        <v>0</v>
      </c>
    </row>
    <row r="32" spans="1:7" ht="32.25" customHeight="1" x14ac:dyDescent="0.25">
      <c r="A32" s="2"/>
      <c r="B32" s="76"/>
      <c r="C32" s="76"/>
      <c r="D32" s="2"/>
      <c r="E32" s="2"/>
      <c r="F32" s="16" t="s">
        <v>68</v>
      </c>
      <c r="G32" s="16">
        <f>SUM(G28:G31)</f>
        <v>0</v>
      </c>
    </row>
    <row r="33" spans="1:7" ht="48" customHeight="1" x14ac:dyDescent="0.25">
      <c r="A33" s="82" t="s">
        <v>69</v>
      </c>
      <c r="B33" s="82"/>
      <c r="C33" s="82"/>
      <c r="D33" s="82"/>
      <c r="E33" s="82"/>
      <c r="F33" s="82"/>
      <c r="G33" s="82"/>
    </row>
    <row r="34" spans="1:7" x14ac:dyDescent="0.25">
      <c r="A34" s="28"/>
      <c r="B34" s="26"/>
      <c r="C34" s="26"/>
      <c r="D34" s="26"/>
      <c r="E34" s="28"/>
      <c r="F34" s="28"/>
      <c r="G34" s="26"/>
    </row>
    <row r="35" spans="1:7" ht="56.25" customHeight="1" x14ac:dyDescent="0.25">
      <c r="A35" s="19" t="s">
        <v>128</v>
      </c>
      <c r="B35" s="83" t="s">
        <v>129</v>
      </c>
      <c r="C35" s="83"/>
      <c r="D35" s="83"/>
      <c r="E35" s="83"/>
      <c r="F35" s="83"/>
      <c r="G35" s="83"/>
    </row>
    <row r="36" spans="1:7" x14ac:dyDescent="0.25">
      <c r="A36" s="16" t="s">
        <v>70</v>
      </c>
      <c r="B36" s="16" t="s">
        <v>71</v>
      </c>
      <c r="C36" s="58" t="s">
        <v>72</v>
      </c>
      <c r="D36" s="58"/>
      <c r="E36" s="72" t="s">
        <v>59</v>
      </c>
      <c r="F36" s="91" t="s">
        <v>73</v>
      </c>
      <c r="G36" s="72" t="s">
        <v>16</v>
      </c>
    </row>
    <row r="37" spans="1:7" x14ac:dyDescent="0.25">
      <c r="A37" s="16"/>
      <c r="B37" s="16"/>
      <c r="C37" s="16" t="s">
        <v>74</v>
      </c>
      <c r="D37" s="16" t="s">
        <v>75</v>
      </c>
      <c r="E37" s="73"/>
      <c r="F37" s="92"/>
      <c r="G37" s="73"/>
    </row>
    <row r="38" spans="1:7" ht="69" customHeight="1" x14ac:dyDescent="0.25">
      <c r="A38" s="2">
        <v>1</v>
      </c>
      <c r="B38" s="35" t="s">
        <v>145</v>
      </c>
      <c r="C38" s="31">
        <v>36</v>
      </c>
      <c r="D38" s="31">
        <v>2</v>
      </c>
      <c r="E38" s="2">
        <v>72</v>
      </c>
      <c r="F38" s="37"/>
      <c r="G38" s="31">
        <f>E38*F38</f>
        <v>0</v>
      </c>
    </row>
    <row r="39" spans="1:7" ht="73.5" customHeight="1" x14ac:dyDescent="0.25">
      <c r="A39" s="2">
        <v>2</v>
      </c>
      <c r="B39" s="35" t="s">
        <v>146</v>
      </c>
      <c r="C39" s="31">
        <v>36</v>
      </c>
      <c r="D39" s="31">
        <v>4</v>
      </c>
      <c r="E39" s="2">
        <v>144</v>
      </c>
      <c r="F39" s="37"/>
      <c r="G39" s="31">
        <f>E39*F39</f>
        <v>0</v>
      </c>
    </row>
    <row r="40" spans="1:7" x14ac:dyDescent="0.25">
      <c r="A40" s="96" t="s">
        <v>76</v>
      </c>
      <c r="B40" s="97"/>
      <c r="C40" s="97"/>
      <c r="D40" s="97"/>
      <c r="E40" s="97"/>
      <c r="F40" s="98"/>
      <c r="G40" s="16">
        <f>SUM(G38:G39)</f>
        <v>0</v>
      </c>
    </row>
    <row r="41" spans="1:7" x14ac:dyDescent="0.25">
      <c r="A41" s="28"/>
      <c r="B41" s="26"/>
      <c r="C41" s="26"/>
      <c r="D41" s="26"/>
      <c r="E41" s="28"/>
      <c r="F41" s="28"/>
      <c r="G41" s="26"/>
    </row>
    <row r="42" spans="1:7" x14ac:dyDescent="0.25">
      <c r="A42" s="27" t="s">
        <v>77</v>
      </c>
      <c r="B42" s="99" t="s">
        <v>130</v>
      </c>
      <c r="C42" s="99"/>
      <c r="D42" s="99"/>
      <c r="E42" s="99"/>
      <c r="F42" s="99"/>
      <c r="G42" s="99"/>
    </row>
    <row r="43" spans="1:7" x14ac:dyDescent="0.25">
      <c r="A43" s="28"/>
      <c r="B43" s="58" t="s">
        <v>78</v>
      </c>
      <c r="C43" s="58"/>
      <c r="D43" s="58" t="s">
        <v>79</v>
      </c>
      <c r="E43" s="58"/>
      <c r="F43" s="2" t="s">
        <v>80</v>
      </c>
      <c r="G43" s="2" t="s">
        <v>16</v>
      </c>
    </row>
    <row r="44" spans="1:7" ht="27.75" customHeight="1" x14ac:dyDescent="0.25">
      <c r="A44" s="28"/>
      <c r="B44" s="58" t="s">
        <v>81</v>
      </c>
      <c r="C44" s="58"/>
      <c r="D44" s="76">
        <v>12</v>
      </c>
      <c r="E44" s="76"/>
      <c r="F44" s="37"/>
      <c r="G44" s="2">
        <f>F44*D44</f>
        <v>0</v>
      </c>
    </row>
    <row r="45" spans="1:7" ht="27" customHeight="1" x14ac:dyDescent="0.25">
      <c r="A45" s="28"/>
      <c r="B45" s="59" t="s">
        <v>117</v>
      </c>
      <c r="C45" s="100"/>
      <c r="D45" s="74">
        <v>12</v>
      </c>
      <c r="E45" s="75"/>
      <c r="F45" s="37"/>
      <c r="G45" s="2">
        <f>F45*D45</f>
        <v>0</v>
      </c>
    </row>
    <row r="46" spans="1:7" x14ac:dyDescent="0.25">
      <c r="A46" s="28"/>
      <c r="B46" s="94" t="s">
        <v>82</v>
      </c>
      <c r="C46" s="94"/>
      <c r="D46" s="94"/>
      <c r="E46" s="94"/>
      <c r="F46" s="94"/>
      <c r="G46" s="16">
        <f>SUM(G44:G45)</f>
        <v>0</v>
      </c>
    </row>
    <row r="47" spans="1:7" x14ac:dyDescent="0.25">
      <c r="A47" s="28"/>
      <c r="B47" s="99" t="s">
        <v>83</v>
      </c>
      <c r="C47" s="99"/>
      <c r="D47" s="99"/>
      <c r="E47" s="99"/>
      <c r="F47" s="99"/>
      <c r="G47" s="99"/>
    </row>
    <row r="48" spans="1:7" x14ac:dyDescent="0.25">
      <c r="A48" s="28"/>
      <c r="B48" s="26"/>
      <c r="C48" s="26"/>
      <c r="D48" s="26"/>
      <c r="E48" s="28"/>
      <c r="F48" s="28"/>
      <c r="G48" s="26"/>
    </row>
    <row r="49" spans="1:8" x14ac:dyDescent="0.25">
      <c r="A49" s="27" t="s">
        <v>84</v>
      </c>
      <c r="B49" s="95" t="s">
        <v>85</v>
      </c>
      <c r="C49" s="95"/>
      <c r="D49" s="95"/>
      <c r="E49" s="95"/>
      <c r="F49" s="95"/>
      <c r="G49" s="95"/>
    </row>
    <row r="50" spans="1:8" x14ac:dyDescent="0.25">
      <c r="A50" s="93"/>
      <c r="B50" s="83" t="s">
        <v>86</v>
      </c>
      <c r="C50" s="83"/>
      <c r="D50" s="83"/>
      <c r="E50" s="6" t="s">
        <v>87</v>
      </c>
      <c r="F50" s="34" t="s">
        <v>88</v>
      </c>
      <c r="G50" s="34" t="s">
        <v>16</v>
      </c>
    </row>
    <row r="51" spans="1:8" x14ac:dyDescent="0.25">
      <c r="A51" s="93"/>
      <c r="B51" s="83"/>
      <c r="C51" s="83"/>
      <c r="D51" s="83"/>
      <c r="E51" s="2">
        <v>36</v>
      </c>
      <c r="F51" s="37"/>
      <c r="G51" s="2">
        <f>+F51*E51</f>
        <v>0</v>
      </c>
    </row>
    <row r="52" spans="1:8" x14ac:dyDescent="0.25">
      <c r="A52" s="28"/>
      <c r="B52" s="94" t="s">
        <v>82</v>
      </c>
      <c r="C52" s="94"/>
      <c r="D52" s="94"/>
      <c r="E52" s="94"/>
      <c r="F52" s="94"/>
      <c r="G52" s="16">
        <f>G51</f>
        <v>0</v>
      </c>
    </row>
    <row r="53" spans="1:8" ht="30" customHeight="1" x14ac:dyDescent="0.25">
      <c r="A53" s="28"/>
      <c r="B53" s="26"/>
      <c r="C53" s="26"/>
      <c r="D53" s="26"/>
      <c r="E53" s="28"/>
      <c r="F53" s="28"/>
      <c r="G53" s="26"/>
    </row>
    <row r="54" spans="1:8" x14ac:dyDescent="0.25">
      <c r="A54" s="27" t="s">
        <v>89</v>
      </c>
      <c r="B54" s="95" t="s">
        <v>90</v>
      </c>
      <c r="C54" s="95"/>
      <c r="D54" s="95"/>
      <c r="E54" s="95"/>
      <c r="F54" s="95"/>
      <c r="G54" s="95"/>
    </row>
    <row r="55" spans="1:8" x14ac:dyDescent="0.25">
      <c r="A55" s="29"/>
      <c r="B55" s="16" t="s">
        <v>91</v>
      </c>
      <c r="C55" s="58" t="s">
        <v>92</v>
      </c>
      <c r="D55" s="58"/>
      <c r="E55" s="16" t="s">
        <v>93</v>
      </c>
      <c r="F55" s="16" t="s">
        <v>94</v>
      </c>
      <c r="G55" s="16" t="s">
        <v>95</v>
      </c>
    </row>
    <row r="56" spans="1:8" x14ac:dyDescent="0.25">
      <c r="A56" s="28"/>
      <c r="B56" s="2">
        <v>1</v>
      </c>
      <c r="C56" s="105" t="s">
        <v>96</v>
      </c>
      <c r="D56" s="106"/>
      <c r="E56" s="2">
        <v>36</v>
      </c>
      <c r="F56" s="37"/>
      <c r="G56" s="2">
        <f>+E56*F56</f>
        <v>0</v>
      </c>
    </row>
    <row r="57" spans="1:8" x14ac:dyDescent="0.25">
      <c r="A57" s="28"/>
      <c r="B57" s="94" t="s">
        <v>82</v>
      </c>
      <c r="C57" s="94"/>
      <c r="D57" s="94"/>
      <c r="E57" s="94"/>
      <c r="F57" s="94"/>
      <c r="G57" s="16">
        <f>G56</f>
        <v>0</v>
      </c>
    </row>
    <row r="58" spans="1:8" ht="33.75" customHeight="1" x14ac:dyDescent="0.25">
      <c r="A58" s="28"/>
      <c r="B58" s="26"/>
      <c r="C58" s="26"/>
      <c r="D58" s="26"/>
      <c r="E58" s="28"/>
      <c r="F58" s="28"/>
      <c r="G58" s="26"/>
    </row>
    <row r="59" spans="1:8" x14ac:dyDescent="0.25">
      <c r="A59" s="27" t="s">
        <v>97</v>
      </c>
      <c r="B59" s="83" t="s">
        <v>131</v>
      </c>
      <c r="C59" s="83"/>
      <c r="D59" s="83"/>
      <c r="E59" s="83"/>
      <c r="F59" s="83"/>
      <c r="G59" s="83"/>
    </row>
    <row r="60" spans="1:8" x14ac:dyDescent="0.25">
      <c r="A60" s="29"/>
      <c r="B60" s="58" t="s">
        <v>18</v>
      </c>
      <c r="C60" s="58"/>
      <c r="D60" s="58"/>
      <c r="E60" s="16" t="s">
        <v>98</v>
      </c>
      <c r="F60" s="16" t="s">
        <v>99</v>
      </c>
      <c r="G60" s="16" t="s">
        <v>100</v>
      </c>
    </row>
    <row r="61" spans="1:8" ht="298.5" customHeight="1" x14ac:dyDescent="0.25">
      <c r="A61" s="28"/>
      <c r="B61" s="101" t="s">
        <v>101</v>
      </c>
      <c r="C61" s="101"/>
      <c r="D61" s="101"/>
      <c r="E61" s="2">
        <v>36</v>
      </c>
      <c r="F61" s="37"/>
      <c r="G61" s="2">
        <f>E61*F61</f>
        <v>0</v>
      </c>
    </row>
    <row r="62" spans="1:8" x14ac:dyDescent="0.25">
      <c r="A62" s="36"/>
      <c r="B62" s="97" t="s">
        <v>82</v>
      </c>
      <c r="C62" s="97"/>
      <c r="D62" s="97"/>
      <c r="E62" s="97"/>
      <c r="F62" s="98"/>
      <c r="G62" s="16">
        <f>G61</f>
        <v>0</v>
      </c>
    </row>
    <row r="63" spans="1:8" ht="24.75" customHeight="1" x14ac:dyDescent="0.25">
      <c r="A63" s="28"/>
      <c r="B63" s="26"/>
      <c r="C63" s="26"/>
      <c r="D63" s="26"/>
      <c r="E63" s="28"/>
      <c r="F63" s="28"/>
      <c r="G63" s="26"/>
      <c r="H63" s="39"/>
    </row>
    <row r="64" spans="1:8" x14ac:dyDescent="0.25">
      <c r="A64" s="27" t="s">
        <v>102</v>
      </c>
      <c r="B64" s="67" t="s">
        <v>103</v>
      </c>
      <c r="C64" s="67"/>
      <c r="D64" s="67"/>
      <c r="E64" s="67"/>
      <c r="F64" s="67"/>
      <c r="G64" s="67"/>
    </row>
    <row r="65" spans="1:7" ht="31.5" x14ac:dyDescent="0.25">
      <c r="A65" s="16" t="s">
        <v>17</v>
      </c>
      <c r="B65" s="16" t="s">
        <v>18</v>
      </c>
      <c r="C65" s="16" t="s">
        <v>104</v>
      </c>
      <c r="D65" s="16" t="s">
        <v>105</v>
      </c>
      <c r="E65" s="16" t="s">
        <v>106</v>
      </c>
      <c r="F65" s="16" t="s">
        <v>107</v>
      </c>
      <c r="G65" s="16" t="s">
        <v>16</v>
      </c>
    </row>
    <row r="66" spans="1:7" x14ac:dyDescent="0.25">
      <c r="A66" s="2">
        <v>1</v>
      </c>
      <c r="B66" s="2" t="s">
        <v>108</v>
      </c>
      <c r="C66" s="2">
        <v>36</v>
      </c>
      <c r="D66" s="2">
        <v>3</v>
      </c>
      <c r="E66" s="2">
        <f>C66*D66</f>
        <v>108</v>
      </c>
      <c r="F66" s="38"/>
      <c r="G66" s="2">
        <f>F66*E66</f>
        <v>0</v>
      </c>
    </row>
    <row r="67" spans="1:7" x14ac:dyDescent="0.25">
      <c r="A67" s="2">
        <v>2</v>
      </c>
      <c r="B67" s="2" t="s">
        <v>109</v>
      </c>
      <c r="C67" s="2">
        <v>6</v>
      </c>
      <c r="D67" s="2">
        <v>3</v>
      </c>
      <c r="E67" s="2">
        <f>C67*D67</f>
        <v>18</v>
      </c>
      <c r="F67" s="38"/>
      <c r="G67" s="2">
        <f>F67*E67</f>
        <v>0</v>
      </c>
    </row>
    <row r="68" spans="1:7" ht="63" x14ac:dyDescent="0.25">
      <c r="A68" s="2">
        <v>3</v>
      </c>
      <c r="B68" s="2" t="s">
        <v>110</v>
      </c>
      <c r="C68" s="2">
        <v>15</v>
      </c>
      <c r="D68" s="2">
        <v>3</v>
      </c>
      <c r="E68" s="2">
        <f>C68*D68</f>
        <v>45</v>
      </c>
      <c r="F68" s="38"/>
      <c r="G68" s="2">
        <f>F68*E68</f>
        <v>0</v>
      </c>
    </row>
    <row r="69" spans="1:7" x14ac:dyDescent="0.25">
      <c r="A69" s="96" t="s">
        <v>82</v>
      </c>
      <c r="B69" s="97"/>
      <c r="C69" s="97"/>
      <c r="D69" s="97"/>
      <c r="E69" s="97"/>
      <c r="F69" s="98"/>
      <c r="G69" s="16">
        <f>SUM(G66:G68)</f>
        <v>0</v>
      </c>
    </row>
    <row r="70" spans="1:7" x14ac:dyDescent="0.25">
      <c r="A70" s="28"/>
      <c r="B70" s="26"/>
      <c r="C70" s="26"/>
      <c r="D70" s="26"/>
      <c r="E70" s="28"/>
      <c r="F70" s="28"/>
      <c r="G70" s="26"/>
    </row>
    <row r="71" spans="1:7" x14ac:dyDescent="0.25">
      <c r="A71" s="27" t="s">
        <v>111</v>
      </c>
      <c r="B71" s="102" t="s">
        <v>112</v>
      </c>
      <c r="C71" s="103"/>
      <c r="D71" s="103"/>
      <c r="E71" s="103"/>
      <c r="F71" s="103"/>
      <c r="G71" s="104"/>
    </row>
    <row r="72" spans="1:7" x14ac:dyDescent="0.25">
      <c r="A72" s="28"/>
      <c r="B72" s="58" t="s">
        <v>18</v>
      </c>
      <c r="C72" s="58"/>
      <c r="D72" s="58"/>
      <c r="E72" s="16" t="s">
        <v>142</v>
      </c>
      <c r="F72" s="16" t="s">
        <v>88</v>
      </c>
      <c r="G72" s="16" t="s">
        <v>16</v>
      </c>
    </row>
    <row r="73" spans="1:7" ht="37.5" customHeight="1" x14ac:dyDescent="0.25">
      <c r="A73" s="28">
        <v>1</v>
      </c>
      <c r="B73" s="110" t="s">
        <v>133</v>
      </c>
      <c r="C73" s="110"/>
      <c r="D73" s="110"/>
      <c r="E73" s="42">
        <v>3</v>
      </c>
      <c r="F73" s="38"/>
      <c r="G73" s="2">
        <f>F73*E73</f>
        <v>0</v>
      </c>
    </row>
    <row r="74" spans="1:7" ht="38.25" customHeight="1" x14ac:dyDescent="0.25">
      <c r="A74" s="28">
        <v>2</v>
      </c>
      <c r="B74" s="110" t="s">
        <v>113</v>
      </c>
      <c r="C74" s="110"/>
      <c r="D74" s="110"/>
      <c r="E74" s="42">
        <v>6</v>
      </c>
      <c r="F74" s="38"/>
      <c r="G74" s="2">
        <f>F74*E74</f>
        <v>0</v>
      </c>
    </row>
    <row r="75" spans="1:7" ht="36.75" customHeight="1" x14ac:dyDescent="0.25">
      <c r="A75" s="28">
        <v>3</v>
      </c>
      <c r="B75" s="110" t="s">
        <v>114</v>
      </c>
      <c r="C75" s="110"/>
      <c r="D75" s="110"/>
      <c r="E75" s="42">
        <v>6</v>
      </c>
      <c r="F75" s="38"/>
      <c r="G75" s="2">
        <f>F75*E75</f>
        <v>0</v>
      </c>
    </row>
    <row r="76" spans="1:7" ht="36.75" customHeight="1" x14ac:dyDescent="0.25">
      <c r="A76" s="28">
        <v>4</v>
      </c>
      <c r="B76" s="107" t="s">
        <v>115</v>
      </c>
      <c r="C76" s="108"/>
      <c r="D76" s="109"/>
      <c r="E76" s="42">
        <v>6</v>
      </c>
      <c r="F76" s="38"/>
      <c r="G76" s="2">
        <f>F76*E76</f>
        <v>0</v>
      </c>
    </row>
    <row r="77" spans="1:7" ht="36.75" customHeight="1" x14ac:dyDescent="0.25">
      <c r="A77" s="28"/>
      <c r="B77" s="96" t="s">
        <v>82</v>
      </c>
      <c r="C77" s="97"/>
      <c r="D77" s="97"/>
      <c r="E77" s="97"/>
      <c r="F77" s="98"/>
      <c r="G77" s="16">
        <f>SUM(G73:G76)</f>
        <v>0</v>
      </c>
    </row>
    <row r="78" spans="1:7" ht="36.75" customHeight="1" x14ac:dyDescent="0.25"/>
    <row r="79" spans="1:7" ht="1.5" customHeight="1" x14ac:dyDescent="0.25"/>
    <row r="80" spans="1:7" hidden="1" x14ac:dyDescent="0.25"/>
  </sheetData>
  <sheetProtection algorithmName="SHA-512" hashValue="gu01FhuGqstJM7BwXB01n1aG01xOL6kknf+9wt34kY4koHyusCUrftTgdFOPIIcj8gKsWGRktmB/NX5IVH0p4w==" saltValue="fY6EI4fMeiwuq0+wFXkbxA==" spinCount="100000" sheet="1" objects="1" scenarios="1"/>
  <mergeCells count="71">
    <mergeCell ref="A69:F69"/>
    <mergeCell ref="B71:G71"/>
    <mergeCell ref="C56:D56"/>
    <mergeCell ref="B57:F57"/>
    <mergeCell ref="B77:F77"/>
    <mergeCell ref="B76:D76"/>
    <mergeCell ref="B72:D72"/>
    <mergeCell ref="B59:G59"/>
    <mergeCell ref="B60:D60"/>
    <mergeCell ref="B73:D73"/>
    <mergeCell ref="B74:D74"/>
    <mergeCell ref="B75:D75"/>
    <mergeCell ref="B49:G49"/>
    <mergeCell ref="B47:G47"/>
    <mergeCell ref="B61:D61"/>
    <mergeCell ref="B62:F62"/>
    <mergeCell ref="B64:G64"/>
    <mergeCell ref="D44:E44"/>
    <mergeCell ref="B46:F46"/>
    <mergeCell ref="A40:F40"/>
    <mergeCell ref="B42:G42"/>
    <mergeCell ref="B43:C43"/>
    <mergeCell ref="D43:E43"/>
    <mergeCell ref="B44:C44"/>
    <mergeCell ref="B45:C45"/>
    <mergeCell ref="D45:E45"/>
    <mergeCell ref="A50:A51"/>
    <mergeCell ref="B50:D51"/>
    <mergeCell ref="B52:F52"/>
    <mergeCell ref="B54:G54"/>
    <mergeCell ref="C55:D55"/>
    <mergeCell ref="A33:G33"/>
    <mergeCell ref="B35:G35"/>
    <mergeCell ref="C36:D36"/>
    <mergeCell ref="B10:C10"/>
    <mergeCell ref="A11:D11"/>
    <mergeCell ref="B31:C31"/>
    <mergeCell ref="B19:C19"/>
    <mergeCell ref="A22:E22"/>
    <mergeCell ref="A23:E23"/>
    <mergeCell ref="A24:G24"/>
    <mergeCell ref="E36:E37"/>
    <mergeCell ref="F36:F37"/>
    <mergeCell ref="G36:G37"/>
    <mergeCell ref="B18:C18"/>
    <mergeCell ref="B29:C29"/>
    <mergeCell ref="B30:C30"/>
    <mergeCell ref="B32:C32"/>
    <mergeCell ref="B26:G26"/>
    <mergeCell ref="B27:C27"/>
    <mergeCell ref="B28:C28"/>
    <mergeCell ref="B21:C21"/>
    <mergeCell ref="B20:C20"/>
    <mergeCell ref="A13:F13"/>
    <mergeCell ref="B14:C14"/>
    <mergeCell ref="B15:C15"/>
    <mergeCell ref="B17:C17"/>
    <mergeCell ref="A6:F6"/>
    <mergeCell ref="B7:C7"/>
    <mergeCell ref="B8:C8"/>
    <mergeCell ref="B9:C9"/>
    <mergeCell ref="B16:C16"/>
    <mergeCell ref="A1:G1"/>
    <mergeCell ref="A2:G2"/>
    <mergeCell ref="A3:G3"/>
    <mergeCell ref="A4:A5"/>
    <mergeCell ref="B4:C5"/>
    <mergeCell ref="D4:D5"/>
    <mergeCell ref="E4:E5"/>
    <mergeCell ref="F4:F5"/>
    <mergeCell ref="G4:G5"/>
  </mergeCells>
  <dataValidations count="1">
    <dataValidation allowBlank="1" showInputMessage="1" showErrorMessage="1" error="Enter Values in Numericals between 1 to 100" sqref="F66:F68" xr:uid="{00000000-0002-0000-0200-000000000000}"/>
  </dataValidations>
  <pageMargins left="0.7" right="0.7" top="0.75" bottom="0.75" header="0.3" footer="0.3"/>
  <pageSetup paperSize="9" scale="57" orientation="portrait" r:id="rId1"/>
  <rowBreaks count="1" manualBreakCount="1">
    <brk id="4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Appendix C1</vt:lpstr>
      <vt:lpstr>Appendix C2</vt:lpstr>
      <vt:lpstr>Appendix C3</vt:lpstr>
      <vt:lpstr>'Appendix C2'!Print_Area</vt:lpstr>
      <vt:lpstr>'Appendix C3'!Print_Area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hp</cp:lastModifiedBy>
  <cp:lastPrinted>2026-04-15T11:48:24Z</cp:lastPrinted>
  <dcterms:created xsi:type="dcterms:W3CDTF">2021-08-27T08:09:12Z</dcterms:created>
  <dcterms:modified xsi:type="dcterms:W3CDTF">2026-04-24T06:36:45Z</dcterms:modified>
</cp:coreProperties>
</file>